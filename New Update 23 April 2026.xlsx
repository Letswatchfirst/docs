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SAMPOERNA\2. SAFETY\JSA NEW TEMPLATE\"/>
    </mc:Choice>
  </mc:AlternateContent>
  <xr:revisionPtr revIDLastSave="0" documentId="8_{E2FC858E-B3D2-45DD-A97F-913EA40E47C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okup Table (2)" sheetId="8" r:id="rId1"/>
    <sheet name="New Template" sheetId="7" r:id="rId2"/>
    <sheet name="Listis" sheetId="9" r:id="rId3"/>
    <sheet name="New Listis " sheetId="12" r:id="rId4"/>
  </sheets>
  <externalReferences>
    <externalReference r:id="rId5"/>
  </externalReferences>
  <definedNames>
    <definedName name="_xlnm._FilterDatabase" localSheetId="2" hidden="1">Listis!$B$1:$B$38</definedName>
    <definedName name="A" localSheetId="2">#REF!</definedName>
    <definedName name="Akses_yang_sempit">'New Listis '!$A$2:$A$10</definedName>
    <definedName name="Area_ATEX">'New Listis '!$AK$2</definedName>
    <definedName name="Asbestos">'New Listis '!$B$2:$B$3</definedName>
    <definedName name="Bagian_peralatan_yang_menonjol">'New Listis '!$C$2:$C$10</definedName>
    <definedName name="Bagian_yang_bergerak">'New Listis '!$D$2:$D$10</definedName>
    <definedName name="Bahan_Kimia_berbahaya">'New Listis '!$E$2:$E$10</definedName>
    <definedName name="Bahan_peledak">'New Listis '!$F$2:$F$10</definedName>
    <definedName name="Bahaya_listrik">'New Listis '!$G$2:$G$10</definedName>
    <definedName name="Bahaya_suhu_rendah">'New Listis '!$H$2:$H$10</definedName>
    <definedName name="Bahaya_suhu_tinggi">'New Listis '!$I$2:$I$10</definedName>
    <definedName name="Beban_di_atas_kepala">'New Listis '!$J$2:$J$10</definedName>
    <definedName name="Beban_pengangkatan_tidak_pada_titik_center">'New Listis '!$K$2:$K$10</definedName>
    <definedName name="Bekerja_di_area_lalu_lalang_kendaraan">'New Listis '!$L$2:$L$10</definedName>
    <definedName name="Bekerja_di_ketinggian">'New Listis '!$M$2:$M$10</definedName>
    <definedName name="Benda_jatuh">'New Listis '!$N$2:$N$10</definedName>
    <definedName name="Compressed_gas_atau_air">'New Listis '!$O$2:$O$10</definedName>
    <definedName name="Dampak_Biologi">'New Listis '!$P$2:$P$10</definedName>
    <definedName name="Debu_atau_partikel_lainnya">'New Listis '!$Q$2:$Q$10</definedName>
    <definedName name="Elemen_tajam">'New Listis '!$R$2:$R$10</definedName>
    <definedName name="Flashes_atau_Sinar_Berkedip">'New Listis '!$S$2:$S$10</definedName>
    <definedName name="Forklift_dan_mesin_industri_lainnya">'New Listis '!$T$2:$T$10</definedName>
    <definedName name="Gerakan_anggot__tubuh_ke_atas_yang_berulang">'New Listis '!$U$2:$U$10</definedName>
    <definedName name="Gesekan">'New Listis '!$V$2:$V$10</definedName>
    <definedName name="Getaran_pada_tangan">'New Listis '!$W$2:$W$10</definedName>
    <definedName name="Getaran_pada_tubuh">'New Listis '!$X$2:$X$10</definedName>
    <definedName name="Halangan_di_atas_kepala">'New Listis '!$Y$2:$Y$10</definedName>
    <definedName name="Hazards" localSheetId="2">Listis!$A$2:$A$45</definedName>
    <definedName name="Kebisingan">'New Listis '!$Z$2:$Z$10</definedName>
    <definedName name="Manual_Handling">'New Listis '!$AB$2:$AB$10</definedName>
    <definedName name="Material_radioaktif">'New Listis '!$AA$2:$AA$10</definedName>
    <definedName name="Pekerjaan_panas">'New Listis '!$AJ$2:$AJ$10</definedName>
    <definedName name="Penerangan">'New Listis '!$AC$2:$AC$10</definedName>
    <definedName name="Peralatan_belum_di_cek">'New Listis '!$AH$2:$AH$10</definedName>
    <definedName name="Permukaan_dingin">'New Listis '!$AD$2:$AD$10</definedName>
    <definedName name="Permukaan_licin">'New Listis '!$AE$2:$AE$10</definedName>
    <definedName name="Permukaan_panas">'New Listis '!$AF$2:$AF$10</definedName>
    <definedName name="_xlnm.Print_Area" localSheetId="2">Listis!$A$1:$B$49</definedName>
    <definedName name="_xlnm.Print_Area" localSheetId="1">'New Template'!$A$2:$O$121</definedName>
    <definedName name="_xlnm.Print_Titles" localSheetId="1">'New Template'!$13:$14</definedName>
    <definedName name="Risks" localSheetId="2">Listis!$B$2:$B$22</definedName>
    <definedName name="Ruang_Terbatas">'New Listis '!$AL$2:$AL$10</definedName>
    <definedName name="Stress_berhubungan_dengan_pekerjaan">'New Listis '!$AG$2:$AG$10</definedName>
    <definedName name="ValidateChangeInDialogSelection" localSheetId="2">Listis!ValidateChangeInDialogSelection</definedName>
    <definedName name="zat_yang_mudah_terbakar">'New Listis '!$AI$2:$AI$10</definedName>
    <definedName name="Опасности" localSheetId="2">Listis!$A$2:$A$45</definedName>
    <definedName name="Результаты" localSheetId="2">[1]Списки!$A$2:$A$18</definedName>
    <definedName name="Риски" localSheetId="2">Listis!$B$2:$B$22</definedName>
    <definedName name="Тело" localSheetId="2">[1]Списки!$B$2:$B$24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7" l="1"/>
  <c r="O21" i="7" l="1"/>
  <c r="C9" i="7"/>
  <c r="O35" i="7" l="1"/>
  <c r="O56" i="7"/>
  <c r="O57" i="7"/>
  <c r="O67" i="7"/>
  <c r="O68" i="7"/>
  <c r="O96" i="7"/>
  <c r="O105" i="7"/>
  <c r="K104" i="7"/>
  <c r="O104" i="7" s="1"/>
  <c r="K103" i="7"/>
  <c r="O103" i="7" s="1"/>
  <c r="K102" i="7"/>
  <c r="O102" i="7" s="1"/>
  <c r="K101" i="7"/>
  <c r="O101" i="7" s="1"/>
  <c r="K100" i="7"/>
  <c r="O100" i="7" s="1"/>
  <c r="K99" i="7"/>
  <c r="O99" i="7" s="1"/>
  <c r="K98" i="7"/>
  <c r="O98" i="7" s="1"/>
  <c r="K97" i="7"/>
  <c r="O97" i="7" s="1"/>
  <c r="K108" i="7"/>
  <c r="O108" i="7" s="1"/>
  <c r="K107" i="7"/>
  <c r="O107" i="7" s="1"/>
  <c r="K106" i="7"/>
  <c r="O106" i="7" s="1"/>
  <c r="H11" i="7" l="1"/>
  <c r="K11" i="7" s="1"/>
  <c r="K59" i="7"/>
  <c r="O59" i="7" s="1"/>
  <c r="K58" i="7"/>
  <c r="O58" i="7" s="1"/>
  <c r="K51" i="7"/>
  <c r="O51" i="7" s="1"/>
  <c r="K95" i="7"/>
  <c r="O95" i="7" s="1"/>
  <c r="K94" i="7"/>
  <c r="O94" i="7" s="1"/>
  <c r="K93" i="7"/>
  <c r="O93" i="7" s="1"/>
  <c r="K92" i="7"/>
  <c r="O92" i="7" s="1"/>
  <c r="K91" i="7"/>
  <c r="O91" i="7" s="1"/>
  <c r="K90" i="7"/>
  <c r="O90" i="7" s="1"/>
  <c r="K89" i="7"/>
  <c r="O89" i="7" s="1"/>
  <c r="K88" i="7"/>
  <c r="O88" i="7" s="1"/>
  <c r="K87" i="7"/>
  <c r="O87" i="7" s="1"/>
  <c r="K69" i="7"/>
  <c r="O69" i="7" s="1"/>
  <c r="K86" i="7"/>
  <c r="O86" i="7" s="1"/>
  <c r="K85" i="7"/>
  <c r="O85" i="7" s="1"/>
  <c r="K84" i="7"/>
  <c r="O84" i="7" s="1"/>
  <c r="K83" i="7"/>
  <c r="O83" i="7" s="1"/>
  <c r="K82" i="7"/>
  <c r="O82" i="7" s="1"/>
  <c r="K81" i="7"/>
  <c r="O81" i="7" s="1"/>
  <c r="K80" i="7"/>
  <c r="O80" i="7" s="1"/>
  <c r="K79" i="7"/>
  <c r="O79" i="7" s="1"/>
  <c r="K78" i="7"/>
  <c r="O78" i="7" s="1"/>
  <c r="K77" i="7"/>
  <c r="O77" i="7" s="1"/>
  <c r="K76" i="7"/>
  <c r="O76" i="7" s="1"/>
  <c r="K75" i="7"/>
  <c r="O75" i="7" s="1"/>
  <c r="K74" i="7"/>
  <c r="O74" i="7" s="1"/>
  <c r="K73" i="7"/>
  <c r="O73" i="7" s="1"/>
  <c r="K72" i="7"/>
  <c r="O72" i="7" s="1"/>
  <c r="K71" i="7"/>
  <c r="O71" i="7" s="1"/>
  <c r="K70" i="7"/>
  <c r="O70" i="7" s="1"/>
  <c r="K65" i="7" l="1"/>
  <c r="O65" i="7" s="1"/>
  <c r="K66" i="7"/>
  <c r="O66" i="7" s="1"/>
  <c r="K64" i="7"/>
  <c r="O64" i="7" s="1"/>
  <c r="K63" i="7"/>
  <c r="O63" i="7" s="1"/>
  <c r="K62" i="7"/>
  <c r="O62" i="7" s="1"/>
  <c r="K61" i="7"/>
  <c r="O61" i="7" s="1"/>
  <c r="K60" i="7"/>
  <c r="O60" i="7" s="1"/>
  <c r="K55" i="7"/>
  <c r="O55" i="7" s="1"/>
  <c r="K54" i="7"/>
  <c r="O54" i="7" s="1"/>
  <c r="K53" i="7"/>
  <c r="O53" i="7" s="1"/>
  <c r="K52" i="7"/>
  <c r="O52" i="7" s="1"/>
  <c r="K22" i="7"/>
  <c r="O22" i="7" s="1"/>
  <c r="K50" i="7"/>
  <c r="O50" i="7" s="1"/>
  <c r="K49" i="7"/>
  <c r="O49" i="7" s="1"/>
  <c r="K48" i="7"/>
  <c r="O48" i="7" s="1"/>
  <c r="K47" i="7"/>
  <c r="O47" i="7" s="1"/>
  <c r="K46" i="7"/>
  <c r="O46" i="7" s="1"/>
  <c r="K45" i="7"/>
  <c r="O45" i="7" s="1"/>
  <c r="K44" i="7"/>
  <c r="O44" i="7" s="1"/>
  <c r="K43" i="7"/>
  <c r="O43" i="7" s="1"/>
  <c r="K42" i="7"/>
  <c r="O42" i="7" s="1"/>
  <c r="K41" i="7"/>
  <c r="O41" i="7" s="1"/>
  <c r="K40" i="7"/>
  <c r="O40" i="7" s="1"/>
  <c r="K39" i="7"/>
  <c r="O39" i="7" s="1"/>
  <c r="K38" i="7"/>
  <c r="O38" i="7" s="1"/>
  <c r="K37" i="7"/>
  <c r="O37" i="7" s="1"/>
  <c r="K36" i="7"/>
  <c r="O36" i="7" s="1"/>
  <c r="K34" i="7"/>
  <c r="O34" i="7" s="1"/>
  <c r="K33" i="7"/>
  <c r="O33" i="7" s="1"/>
  <c r="K32" i="7"/>
  <c r="O32" i="7" s="1"/>
  <c r="K31" i="7"/>
  <c r="O31" i="7" s="1"/>
  <c r="K30" i="7"/>
  <c r="O30" i="7" s="1"/>
  <c r="K29" i="7"/>
  <c r="O29" i="7" s="1"/>
  <c r="K28" i="7"/>
  <c r="O28" i="7" s="1"/>
  <c r="K27" i="7"/>
  <c r="O27" i="7" s="1"/>
  <c r="K26" i="7"/>
  <c r="O26" i="7" s="1"/>
  <c r="K25" i="7"/>
  <c r="O25" i="7" s="1"/>
  <c r="K24" i="7"/>
  <c r="O24" i="7" s="1"/>
  <c r="K23" i="7"/>
  <c r="O23" i="7" s="1"/>
  <c r="K19" i="7"/>
  <c r="O19" i="7" s="1"/>
  <c r="K18" i="7"/>
  <c r="O18" i="7" s="1"/>
  <c r="K17" i="7"/>
  <c r="O17" i="7" s="1"/>
  <c r="K15" i="7" l="1"/>
  <c r="K16" i="7"/>
  <c r="P16" i="7" s="1"/>
  <c r="K20" i="7"/>
  <c r="O20" i="7" s="1"/>
  <c r="P47" i="7"/>
  <c r="P48" i="7"/>
  <c r="P49" i="7"/>
  <c r="P50" i="7"/>
  <c r="P102" i="7"/>
  <c r="K110" i="7"/>
  <c r="P103" i="7" s="1"/>
  <c r="O16" i="7" l="1"/>
  <c r="P32" i="7"/>
  <c r="P34" i="7"/>
  <c r="P28" i="7"/>
  <c r="P29" i="7"/>
  <c r="P45" i="7"/>
  <c r="P25" i="7"/>
  <c r="P44" i="7"/>
  <c r="P36" i="7"/>
  <c r="P24" i="7"/>
  <c r="P21" i="7"/>
  <c r="P41" i="7"/>
  <c r="P27" i="7"/>
  <c r="P40" i="7"/>
  <c r="P26" i="7"/>
  <c r="P38" i="7"/>
  <c r="P23" i="7"/>
  <c r="P43" i="7"/>
  <c r="P31" i="7"/>
  <c r="P46" i="7"/>
  <c r="P30" i="7"/>
  <c r="P42" i="7"/>
  <c r="P33" i="7"/>
  <c r="P20" i="7"/>
  <c r="P15" i="7"/>
  <c r="O15" i="7" s="1"/>
  <c r="AB33" i="7"/>
  <c r="AA33" i="7"/>
  <c r="V33" i="7"/>
  <c r="U33" i="7"/>
  <c r="T33" i="7"/>
  <c r="S33" i="7"/>
  <c r="R33" i="7"/>
  <c r="Q33" i="7"/>
  <c r="AB32" i="7"/>
  <c r="AA32" i="7"/>
  <c r="V32" i="7"/>
  <c r="U32" i="7"/>
  <c r="T32" i="7"/>
  <c r="S32" i="7"/>
  <c r="R32" i="7"/>
  <c r="Q32" i="7"/>
  <c r="AB31" i="7"/>
  <c r="AA31" i="7"/>
  <c r="V31" i="7"/>
  <c r="U31" i="7"/>
  <c r="T31" i="7"/>
  <c r="S31" i="7"/>
  <c r="R31" i="7"/>
  <c r="Q31" i="7"/>
  <c r="AB30" i="7"/>
  <c r="AA30" i="7"/>
  <c r="V30" i="7"/>
  <c r="U30" i="7"/>
  <c r="T30" i="7"/>
  <c r="S30" i="7"/>
  <c r="R30" i="7"/>
  <c r="Q30" i="7"/>
  <c r="AB29" i="7"/>
  <c r="AA29" i="7"/>
  <c r="V29" i="7"/>
  <c r="U29" i="7"/>
  <c r="T29" i="7"/>
  <c r="S29" i="7"/>
  <c r="R29" i="7"/>
  <c r="Q29" i="7"/>
  <c r="AB28" i="7"/>
  <c r="AA28" i="7"/>
  <c r="V28" i="7"/>
  <c r="U28" i="7"/>
  <c r="T28" i="7"/>
  <c r="S28" i="7"/>
  <c r="R28" i="7"/>
  <c r="Q28" i="7"/>
  <c r="AB27" i="7"/>
  <c r="AA27" i="7"/>
  <c r="V27" i="7"/>
  <c r="U27" i="7"/>
  <c r="T27" i="7"/>
  <c r="S27" i="7"/>
  <c r="R27" i="7"/>
  <c r="Q27" i="7"/>
  <c r="AB26" i="7"/>
  <c r="AA26" i="7"/>
  <c r="V26" i="7"/>
  <c r="U26" i="7"/>
  <c r="T26" i="7"/>
  <c r="S26" i="7"/>
  <c r="R26" i="7"/>
  <c r="Q26" i="7"/>
  <c r="AB25" i="7"/>
  <c r="AA25" i="7"/>
  <c r="V25" i="7"/>
  <c r="U25" i="7"/>
  <c r="T25" i="7"/>
  <c r="S25" i="7"/>
  <c r="R25" i="7"/>
  <c r="Q25" i="7"/>
  <c r="AB24" i="7"/>
  <c r="AA24" i="7"/>
  <c r="V24" i="7"/>
  <c r="U24" i="7"/>
  <c r="T24" i="7"/>
  <c r="S24" i="7"/>
  <c r="R24" i="7"/>
  <c r="Q24" i="7"/>
  <c r="AB23" i="7"/>
  <c r="AA23" i="7"/>
  <c r="V23" i="7"/>
  <c r="U23" i="7"/>
  <c r="T23" i="7"/>
  <c r="S23" i="7"/>
  <c r="R23" i="7"/>
  <c r="Q23" i="7"/>
  <c r="AB21" i="7"/>
  <c r="AA21" i="7"/>
  <c r="V21" i="7"/>
  <c r="U21" i="7"/>
  <c r="T21" i="7"/>
  <c r="S21" i="7"/>
  <c r="R21" i="7"/>
  <c r="Q21" i="7"/>
  <c r="AB20" i="7"/>
  <c r="AA20" i="7"/>
  <c r="V20" i="7"/>
  <c r="U20" i="7"/>
  <c r="T20" i="7"/>
  <c r="S20" i="7"/>
  <c r="R20" i="7"/>
  <c r="Q20" i="7"/>
  <c r="AB15" i="7"/>
  <c r="AA15" i="7"/>
  <c r="Z15" i="7"/>
  <c r="Y15" i="7"/>
  <c r="X15" i="7"/>
  <c r="W15" i="7"/>
  <c r="V15" i="7"/>
  <c r="U15" i="7"/>
  <c r="T15" i="7"/>
  <c r="S15" i="7"/>
  <c r="R15" i="7"/>
  <c r="Q15" i="7"/>
</calcChain>
</file>

<file path=xl/sharedStrings.xml><?xml version="1.0" encoding="utf-8"?>
<sst xmlns="http://schemas.openxmlformats.org/spreadsheetml/2006/main" count="1337" uniqueCount="505">
  <si>
    <t>PT. HM SAMPOERNA Tbk.</t>
  </si>
  <si>
    <t>QR/MNFPRJ/002</t>
  </si>
  <si>
    <r>
      <t>No.Izin/</t>
    </r>
    <r>
      <rPr>
        <b/>
        <i/>
        <sz val="20"/>
        <color theme="1"/>
        <rFont val="Arial Narrow"/>
        <family val="2"/>
      </rPr>
      <t>Permit No.</t>
    </r>
  </si>
  <si>
    <t>Dibuat Oleh</t>
  </si>
  <si>
    <t>Prepared By</t>
  </si>
  <si>
    <t>Perusahaan / Company</t>
  </si>
  <si>
    <t>Tanggal / Date</t>
  </si>
  <si>
    <r>
      <t>Nama/</t>
    </r>
    <r>
      <rPr>
        <b/>
        <i/>
        <sz val="20"/>
        <color theme="1"/>
        <rFont val="Arial Narrow"/>
        <family val="2"/>
      </rPr>
      <t>Name</t>
    </r>
  </si>
  <si>
    <t>Nama &amp; Aktivitas Pekerjaan 
/ Title &amp; Work Activity</t>
  </si>
  <si>
    <t>Lokasi Pekerjaan / Work Location</t>
  </si>
  <si>
    <r>
      <t>Tanggal/</t>
    </r>
    <r>
      <rPr>
        <b/>
        <i/>
        <sz val="20"/>
        <color theme="1"/>
        <rFont val="Arial Narrow"/>
        <family val="2"/>
      </rPr>
      <t>Date</t>
    </r>
  </si>
  <si>
    <t>No</t>
  </si>
  <si>
    <t>B</t>
  </si>
  <si>
    <t>A</t>
  </si>
  <si>
    <t>D</t>
  </si>
  <si>
    <t>C</t>
  </si>
  <si>
    <t>Probability (P)</t>
  </si>
  <si>
    <t>Severity (S)</t>
  </si>
  <si>
    <t>Risk Rating</t>
  </si>
  <si>
    <t>Hierarchy of controls</t>
  </si>
  <si>
    <t xml:space="preserve">Effectiveness of Control Measures </t>
  </si>
  <si>
    <t>Example/ Notes</t>
  </si>
  <si>
    <t>Risk Matrix</t>
  </si>
  <si>
    <t>Rare</t>
  </si>
  <si>
    <t>Minor</t>
  </si>
  <si>
    <t>1-2</t>
  </si>
  <si>
    <t>Low</t>
  </si>
  <si>
    <t>Elimination/ Substitution</t>
  </si>
  <si>
    <t>Elimination_ Manual handling of minor ingredient eliminated with reformulation replaces ingredient with another already handled in bulk system</t>
  </si>
  <si>
    <t>Probability</t>
  </si>
  <si>
    <t>Serious</t>
  </si>
  <si>
    <t>Unlikely</t>
  </si>
  <si>
    <t>3-7</t>
  </si>
  <si>
    <t>Moderate</t>
  </si>
  <si>
    <t>Engineering Controls</t>
  </si>
  <si>
    <t>- Guards with Cat 3 or 4 interlocks, restart by separate button, (without line of sight) and Pressure Sensing Devices or Trapped Key system (if person is able to stay within cage area)
- Physical barrriers (fixed guards, cage, wall, isolated aisles, etc.)</t>
  </si>
  <si>
    <t>High</t>
  </si>
  <si>
    <t>Likely</t>
  </si>
  <si>
    <t>8-15</t>
  </si>
  <si>
    <t xml:space="preserve">High </t>
  </si>
  <si>
    <t>Admin, training, PPE</t>
  </si>
  <si>
    <t>- LOTO
- Guards with Cat 1 or 2 interlocks, 2 points of control and tool/PPE
- Guards with Cat 3 or 4 interlocks, with auto-restart, 2 points of control and tools/PPE
- Energy isolation (pneumatic, hydraulic, electrical, etc.)</t>
  </si>
  <si>
    <t>16-39</t>
  </si>
  <si>
    <t>Critical</t>
  </si>
  <si>
    <t>PPE</t>
  </si>
  <si>
    <t>Gloves, bump cap, gloves, eyeware, etc.</t>
  </si>
  <si>
    <t>&gt;=40</t>
  </si>
  <si>
    <t>Catastrophic</t>
  </si>
  <si>
    <t>No controls</t>
  </si>
  <si>
    <t>No Controls</t>
  </si>
  <si>
    <t>Hazard Identification and Initial Risk Level</t>
  </si>
  <si>
    <t>Eliminasi</t>
  </si>
  <si>
    <t xml:space="preserve"> Percepatan , perlambatan</t>
  </si>
  <si>
    <t xml:space="preserve"> Arc</t>
  </si>
  <si>
    <t xml:space="preserve"> Ledakan</t>
  </si>
  <si>
    <t xml:space="preserve"> Fenomena kavitasi</t>
  </si>
  <si>
    <t xml:space="preserve"> Fenomena Kavitasi</t>
  </si>
  <si>
    <t xml:space="preserve"> Sumber radiasi pengion</t>
  </si>
  <si>
    <t xml:space="preserve"> Aerosol</t>
  </si>
  <si>
    <t xml:space="preserve"> Akses</t>
  </si>
  <si>
    <t>Debu dan embun</t>
  </si>
  <si>
    <t>Lama jam kerja tidak normal</t>
  </si>
  <si>
    <t>Tanah yang tidak rata atau rusak</t>
  </si>
  <si>
    <t>Substitusi</t>
  </si>
  <si>
    <t xml:space="preserve"> Energi kinetik</t>
  </si>
  <si>
    <t xml:space="preserve"> Fenomena elektromagnetik</t>
  </si>
  <si>
    <t xml:space="preserve"> Nyala api</t>
  </si>
  <si>
    <t xml:space="preserve"> Exhausting system</t>
  </si>
  <si>
    <t xml:space="preserve"> Bagian yang bergerak mengalami ketidaklurusan antar kedua poros(Misalighment)</t>
  </si>
  <si>
    <t xml:space="preserve"> Rendahnya radiasi frekuensi elektromagnetik</t>
  </si>
  <si>
    <t xml:space="preserve"> Biologi and mikrobiologi(virus atau bacteri)</t>
  </si>
  <si>
    <t xml:space="preserve"> Desain atau lokasi indikator dan unit tampilan visual </t>
  </si>
  <si>
    <t>Gangguan elektromagnetik</t>
  </si>
  <si>
    <t>Perilaku yang agresif</t>
  </si>
  <si>
    <t>Wet / Slick / Slippery Conditions</t>
  </si>
  <si>
    <t>Departement</t>
  </si>
  <si>
    <t>Engineering Control</t>
  </si>
  <si>
    <t xml:space="preserve"> Bagian sudut</t>
  </si>
  <si>
    <t xml:space="preserve"> Fenomena elektrostatistik</t>
  </si>
  <si>
    <t xml:space="preserve"> Objek dan material dengan suhu tinggi atau rendah</t>
  </si>
  <si>
    <t>Kebocoran gas bertekanan tinggi</t>
  </si>
  <si>
    <t xml:space="preserve"> Peralatan seluler</t>
  </si>
  <si>
    <t xml:space="preserve">  Radiasi optik (inframerah, terlihat dan ultraviolet), termasuk laser</t>
  </si>
  <si>
    <t>Mudah terbakar</t>
  </si>
  <si>
    <t xml:space="preserve">  Desain, lokasi, atau identifikasi perangkat kontrol</t>
  </si>
  <si>
    <t>Pencahayaan lokal</t>
  </si>
  <si>
    <t>pengaruh alkohol atau obat/narkoba</t>
  </si>
  <si>
    <t>Ketinggian dari permukaan tanah</t>
  </si>
  <si>
    <t>Area / LU</t>
  </si>
  <si>
    <t>Administrasi Control</t>
  </si>
  <si>
    <t xml:space="preserve"> Pendekatan elemen bergerak ke bagian tetap</t>
  </si>
  <si>
    <t xml:space="preserve"> Komponen / bagian yang hidup atau menyala</t>
  </si>
  <si>
    <t xml:space="preserve"> Radiasi dari sumber panas</t>
  </si>
  <si>
    <t xml:space="preserve">  Proses pembuatan (stamping, cutting, dll.)</t>
  </si>
  <si>
    <t xml:space="preserve"> Pengikisan permukaan</t>
  </si>
  <si>
    <t xml:space="preserve">  Radiasi elektromagnetik frekuensi radio</t>
  </si>
  <si>
    <t>Debu</t>
  </si>
  <si>
    <t xml:space="preserve"> Kekuatan </t>
  </si>
  <si>
    <t>Kilat / Petir</t>
  </si>
  <si>
    <t>Pelecehan</t>
  </si>
  <si>
    <t>Beban jatuh</t>
  </si>
  <si>
    <t>Machine</t>
  </si>
  <si>
    <t>APD</t>
  </si>
  <si>
    <t xml:space="preserve"> Bagian pemotong</t>
  </si>
  <si>
    <t xml:space="preserve"> Tidak cukup jarak untuk hidup di bawah tegangan tinggi</t>
  </si>
  <si>
    <t xml:space="preserve"> Lainnya</t>
  </si>
  <si>
    <t xml:space="preserve"> Bagian yang bergerak</t>
  </si>
  <si>
    <t xml:space="preserve"> Bagian berputar yang tidak seimbang</t>
  </si>
  <si>
    <t>lainnya</t>
  </si>
  <si>
    <t>Ledakan</t>
  </si>
  <si>
    <t xml:space="preserve"> Kerlip, menyilaukan, bayangan, efek stroboscopik</t>
  </si>
  <si>
    <t>Kelembapan</t>
  </si>
  <si>
    <t>Tidak mematuhi kebijakan/prosedur</t>
  </si>
  <si>
    <t>Objek atau material jatuh</t>
  </si>
  <si>
    <t>Equipment</t>
  </si>
  <si>
    <t xml:space="preserve"> Elemen elastis</t>
  </si>
  <si>
    <t xml:space="preserve"> Kelebihan beban</t>
  </si>
  <si>
    <t xml:space="preserve"> Alat yang bergetar</t>
  </si>
  <si>
    <t>Serat</t>
  </si>
  <si>
    <t xml:space="preserve"> Postur</t>
  </si>
  <si>
    <t xml:space="preserve"> Polusi</t>
  </si>
  <si>
    <t>Mengurangi kapasitas untuk kesehatan mental kerja</t>
  </si>
  <si>
    <t>Kemiringan</t>
  </si>
  <si>
    <t>TS / Workshop</t>
  </si>
  <si>
    <t>LU 23</t>
  </si>
  <si>
    <t>Date</t>
  </si>
  <si>
    <t xml:space="preserve"> Objek jatuh</t>
  </si>
  <si>
    <t xml:space="preserve"> Bagian atau komponen yang menyala/hidup dalam kondisi salah</t>
  </si>
  <si>
    <t xml:space="preserve"> Bagian yang berputar tidak seimbang</t>
  </si>
  <si>
    <t xml:space="preserve"> Bagian atau komponen aus</t>
  </si>
  <si>
    <t>Barang atau bahan mudah terbakar</t>
  </si>
  <si>
    <t>Aktivitas berulang</t>
  </si>
  <si>
    <t xml:space="preserve"> Salju</t>
  </si>
  <si>
    <t>Mengurangi kapasitas pekerjaan fisik</t>
  </si>
  <si>
    <t>Lainnya</t>
  </si>
  <si>
    <t>Job</t>
  </si>
  <si>
    <t xml:space="preserve"> Energi yang tersimpan</t>
  </si>
  <si>
    <t xml:space="preserve"> Arus pendek/Short sircuit</t>
  </si>
  <si>
    <t xml:space="preserve"> Pneumatic bersiul</t>
  </si>
  <si>
    <t xml:space="preserve"> Cairan</t>
  </si>
  <si>
    <t>Postur pengikatan (tidak netral)</t>
  </si>
  <si>
    <t>Temperatur/suhu</t>
  </si>
  <si>
    <t>shift kerja</t>
  </si>
  <si>
    <t>TS</t>
  </si>
  <si>
    <t>Tekanan tinggi</t>
  </si>
  <si>
    <t xml:space="preserve"> Radiasi panas</t>
  </si>
  <si>
    <t xml:space="preserve"> Fume</t>
  </si>
  <si>
    <t>Upaya dan kekuatan Penanganan Beban  (berlebihan, tiba-tiba dan asimetris)</t>
  </si>
  <si>
    <t>Air</t>
  </si>
  <si>
    <t>Stres</t>
  </si>
  <si>
    <t>№</t>
  </si>
  <si>
    <t>Risk mitigation actions</t>
  </si>
  <si>
    <t xml:space="preserve"> Mobilitas mesin</t>
  </si>
  <si>
    <t xml:space="preserve"> Listrik statis</t>
  </si>
  <si>
    <t xml:space="preserve"> Gas</t>
  </si>
  <si>
    <t xml:space="preserve">Tugas yang tidak bervariasi dan periode pemulihan. </t>
  </si>
  <si>
    <t xml:space="preserve"> Angin</t>
  </si>
  <si>
    <t>Kekerasan / Kejahatan</t>
  </si>
  <si>
    <t>HIRADC Triger</t>
  </si>
  <si>
    <t>Status Update HIRADC</t>
  </si>
  <si>
    <t>QA/QC/Lab</t>
  </si>
  <si>
    <t>Kitchen</t>
  </si>
  <si>
    <t>calculation</t>
  </si>
  <si>
    <t>Reaplication</t>
  </si>
  <si>
    <t>all low</t>
  </si>
  <si>
    <t>need support</t>
  </si>
  <si>
    <t>Update doc</t>
  </si>
  <si>
    <t xml:space="preserve"> Elemen yang bergerak</t>
  </si>
  <si>
    <t xml:space="preserve"> Kabut</t>
  </si>
  <si>
    <t>Penanganan yang sering (naikkan, turunkan, dorong, tarik, tahan atau transportasi)</t>
  </si>
  <si>
    <t xml:space="preserve">Visibilitas </t>
  </si>
  <si>
    <t xml:space="preserve"> Mental overload/underload</t>
  </si>
  <si>
    <t>LU 24</t>
  </si>
  <si>
    <t xml:space="preserve"> Elemen yang berputar</t>
  </si>
  <si>
    <t xml:space="preserve"> Oksidasi</t>
  </si>
  <si>
    <t>Pekerjaan statik dan pekerjaan berdiri</t>
  </si>
  <si>
    <t>Bahaya area kerja yang meningkat</t>
  </si>
  <si>
    <t xml:space="preserve"> Permukaan yang kasar dan licin</t>
  </si>
  <si>
    <t>Beracun</t>
  </si>
  <si>
    <t>Tekanan mekanis (benda keras)</t>
  </si>
  <si>
    <t xml:space="preserve">Bahaya lalu lintas/pergerakan kendaraan   </t>
  </si>
  <si>
    <t>Ventilasi</t>
  </si>
  <si>
    <t>Kebocoran oksigen</t>
  </si>
  <si>
    <t>Kolom N</t>
  </si>
  <si>
    <t>Kolom L</t>
  </si>
  <si>
    <t>Almost certain</t>
  </si>
  <si>
    <t>Kolom Q</t>
  </si>
  <si>
    <t>0-3</t>
  </si>
  <si>
    <t>3-5.9</t>
  </si>
  <si>
    <t>5.9-7</t>
  </si>
  <si>
    <t>7-9</t>
  </si>
  <si>
    <t>9 &lt;</t>
  </si>
  <si>
    <t>Almost Certain</t>
  </si>
  <si>
    <t>Tahap Pekerjaan
(Sequence of Basic Job Steps)</t>
  </si>
  <si>
    <t>Alat Kerja/Alat Safety yang digunakan
(Tool/Safety Tools will use)</t>
  </si>
  <si>
    <t>Keparahan
(Severity)</t>
  </si>
  <si>
    <t>Hirarki Kontrol
(Hierarchy of Control)</t>
  </si>
  <si>
    <t>Resiko Akhir
(Residual risk)</t>
  </si>
  <si>
    <t>Frekuensi
(Likehood)</t>
  </si>
  <si>
    <t xml:space="preserve">: </t>
  </si>
  <si>
    <t>Sign</t>
  </si>
  <si>
    <t>Conceivably possible, but not aware of it happening before</t>
  </si>
  <si>
    <t xml:space="preserve">First Aid Case </t>
  </si>
  <si>
    <t>Minor Reversible Health Effects</t>
  </si>
  <si>
    <t>Less than $10K</t>
  </si>
  <si>
    <t xml:space="preserve">Elimination or substitution (Substitition requieres a re-assessment) </t>
  </si>
  <si>
    <r>
      <rPr>
        <u/>
        <sz val="12"/>
        <color theme="1"/>
        <rFont val="Calibri"/>
        <family val="2"/>
        <scheme val="minor"/>
      </rPr>
      <t>Acceptable Risk Level</t>
    </r>
    <r>
      <rPr>
        <sz val="12"/>
        <color theme="1"/>
        <rFont val="Calibri"/>
        <family val="2"/>
        <scheme val="minor"/>
      </rPr>
      <t xml:space="preserve">
• Does not require active management</t>
    </r>
  </si>
  <si>
    <t>Could happen under abnormal circumstances but not expected</t>
  </si>
  <si>
    <t xml:space="preserve">Medical Treatment Case (MTC)
Restricted Work Case (RWC)
Loss of consciousness </t>
  </si>
  <si>
    <t>Restricted Work Disease</t>
  </si>
  <si>
    <t>Liabilities in the $10K -$100K range.</t>
  </si>
  <si>
    <r>
      <t xml:space="preserve">Controls that </t>
    </r>
    <r>
      <rPr>
        <b/>
        <sz val="12"/>
        <color theme="1"/>
        <rFont val="Calibri"/>
        <family val="2"/>
        <scheme val="minor"/>
      </rPr>
      <t>Do Not</t>
    </r>
    <r>
      <rPr>
        <sz val="12"/>
        <color theme="1"/>
        <rFont val="Calibri"/>
        <family val="2"/>
        <scheme val="minor"/>
      </rPr>
      <t xml:space="preserve"> require Admin intervention, Training, Signage and PPE</t>
    </r>
  </si>
  <si>
    <r>
      <rPr>
        <u/>
        <sz val="12"/>
        <color theme="1"/>
        <rFont val="Calibri"/>
        <family val="2"/>
        <scheme val="minor"/>
      </rPr>
      <t>Acceptable Risk Level</t>
    </r>
    <r>
      <rPr>
        <sz val="12"/>
        <color theme="1"/>
        <rFont val="Calibri"/>
        <family val="2"/>
        <scheme val="minor"/>
      </rPr>
      <t xml:space="preserve">
• Additional measures could be used to reduce the risk further.
• Notification might be needed in case help is required for further risk reduction / monitoring.
• Monitoring must be done by Site EHS team at least every three years</t>
    </r>
  </si>
  <si>
    <t>Reasonably expected to happen </t>
  </si>
  <si>
    <t xml:space="preserve">Lost time injury (LTI)
Lost time occupational injury 
Permanent injury or illness </t>
  </si>
  <si>
    <t>Major Reversible Health Effects</t>
  </si>
  <si>
    <t>Liabilities in the $100K-$1M range.</t>
  </si>
  <si>
    <r>
      <t xml:space="preserve">Controls that </t>
    </r>
    <r>
      <rPr>
        <b/>
        <sz val="12"/>
        <color theme="1"/>
        <rFont val="Calibri"/>
        <family val="2"/>
        <scheme val="minor"/>
      </rPr>
      <t>Do</t>
    </r>
    <r>
      <rPr>
        <sz val="12"/>
        <color theme="1"/>
        <rFont val="Calibri"/>
        <family val="2"/>
        <scheme val="minor"/>
      </rPr>
      <t xml:space="preserve"> require Admin intervention OR Admin controls (i.e.  training, signage and PPE)</t>
    </r>
  </si>
  <si>
    <r>
      <rPr>
        <u/>
        <sz val="12"/>
        <color theme="1"/>
        <rFont val="Calibri"/>
        <family val="2"/>
        <scheme val="minor"/>
      </rPr>
      <t>Non-Acceptable Risk Level</t>
    </r>
    <r>
      <rPr>
        <sz val="12"/>
        <color theme="1"/>
        <rFont val="Calibri"/>
        <family val="2"/>
        <scheme val="minor"/>
      </rPr>
      <t xml:space="preserve">
• Additional Temporary controls are implemented until permanent corrective action can be implemented.
• A plan must include the specific actions and schedule to address the risk, the active monitoring and assessment of the effectiveness of the treatment.
• Notification to BU Manager.
• Monitoring must be done by Site EHS team at least once per year.
</t>
    </r>
    <r>
      <rPr>
        <b/>
        <u/>
        <sz val="12"/>
        <color theme="1"/>
        <rFont val="Calibri"/>
        <family val="2"/>
        <scheme val="minor"/>
      </rPr>
      <t>If further Risk Reduction cannot be achieved, ALARP principle must be demonstrated and properly communicated</t>
    </r>
  </si>
  <si>
    <t>Expected situation which will happen</t>
  </si>
  <si>
    <t>Fatality / Multiple fatalities</t>
  </si>
  <si>
    <t>Permanent Disability on the basis of Health
Fatal Diseases</t>
  </si>
  <si>
    <t>Material liability over $1M.</t>
  </si>
  <si>
    <t>PPE as required to address physical hazards</t>
  </si>
  <si>
    <r>
      <rPr>
        <u/>
        <sz val="12"/>
        <color theme="1"/>
        <rFont val="Calibri"/>
        <family val="2"/>
        <scheme val="minor"/>
      </rPr>
      <t>Non-Acceptable Risk Level</t>
    </r>
    <r>
      <rPr>
        <sz val="12"/>
        <color theme="1"/>
        <rFont val="Calibri"/>
        <family val="2"/>
        <scheme val="minor"/>
      </rPr>
      <t xml:space="preserve">
• Additional interim controls are implemented until permanent corrective action can be implemented.
• A plan must include the specific actions and schedule to address the risk, on-going monitoring and assessment of the effectiveness of the treatment.
• Notification to Manufacturing Director 
• Monitoring must be done by Site EHS team at least once every six months.
</t>
    </r>
    <r>
      <rPr>
        <b/>
        <u/>
        <sz val="12"/>
        <color theme="1"/>
        <rFont val="Calibri"/>
        <family val="2"/>
        <scheme val="minor"/>
      </rPr>
      <t>If further Risk Reduction cannot be achieved, ALARP principle must be demonstrated and properly communicated</t>
    </r>
  </si>
  <si>
    <r>
      <rPr>
        <u/>
        <sz val="12"/>
        <color theme="1"/>
        <rFont val="Calibri"/>
        <family val="2"/>
        <scheme val="minor"/>
      </rPr>
      <t>Non-Acceptable Risk Level</t>
    </r>
    <r>
      <rPr>
        <sz val="12"/>
        <color theme="1"/>
        <rFont val="Calibri"/>
        <family val="2"/>
        <scheme val="minor"/>
      </rPr>
      <t xml:space="preserve">
• Stop operations until controls are in place to minimize the risk level
• Notification to Manufacturing Director 
• On-going monitoring must be done by Site EHS team.
</t>
    </r>
    <r>
      <rPr>
        <b/>
        <u/>
        <sz val="12"/>
        <color theme="1"/>
        <rFont val="Calibri"/>
        <family val="2"/>
        <scheme val="minor"/>
      </rPr>
      <t>If further Risk Reduction cannot be achieved, ALARP principle must be demonstrated and properly communicated</t>
    </r>
  </si>
  <si>
    <t>Diperiksa dan Disetujui Oleh</t>
  </si>
  <si>
    <t>Reviewed and Approved By</t>
  </si>
  <si>
    <t>Risiko
(Risk)</t>
  </si>
  <si>
    <t>Bahaya
(Hazard)</t>
  </si>
  <si>
    <t>Mitigasi Awal
(Current Control Measure)</t>
  </si>
  <si>
    <t>Project Group Leader
(Permit User's Coordinator)</t>
  </si>
  <si>
    <t>SO Contractor
(Permit Issuer)</t>
  </si>
  <si>
    <t>Project Leader HMS/Area Owner
(Permit Approver)</t>
  </si>
  <si>
    <t>FORMULIR JOB SAFETY ANALYSIS (JSA)</t>
  </si>
  <si>
    <t>Nama Customer / User HMS</t>
  </si>
  <si>
    <t>Penanggung Jawab
(Responsible)</t>
  </si>
  <si>
    <t>Hazard list</t>
  </si>
  <si>
    <t>Risks</t>
  </si>
  <si>
    <t>Severity</t>
  </si>
  <si>
    <t>Risk evaluation</t>
  </si>
  <si>
    <t>Asbestos</t>
  </si>
  <si>
    <t>Kebutaan</t>
  </si>
  <si>
    <t>Automatic start</t>
  </si>
  <si>
    <t>Luka bakar kimia</t>
  </si>
  <si>
    <t>Dampak Biologi</t>
  </si>
  <si>
    <t>Korosi</t>
  </si>
  <si>
    <t>Zat kaustid dan korosif</t>
  </si>
  <si>
    <t>Terpotong</t>
  </si>
  <si>
    <t>Permukaan dingin</t>
  </si>
  <si>
    <t>Compressed gas / air</t>
  </si>
  <si>
    <t>Debu atau partikel lainnya</t>
  </si>
  <si>
    <t>Bahaya listrik</t>
  </si>
  <si>
    <t>Bahan peledak</t>
  </si>
  <si>
    <t>Benda jatuh</t>
  </si>
  <si>
    <t>Terpapar Dingin</t>
  </si>
  <si>
    <t>zat yang mudah terbakar</t>
  </si>
  <si>
    <t>Gap</t>
  </si>
  <si>
    <t>Flashes / Sinar Berkedip</t>
  </si>
  <si>
    <t>Forklift dan mesin industri lainnya</t>
  </si>
  <si>
    <t>Terpapar Radiasi</t>
  </si>
  <si>
    <t>Bahan Kimia berbahaya</t>
  </si>
  <si>
    <t>Iritasi</t>
  </si>
  <si>
    <t>Bahaya suhu tinggi</t>
  </si>
  <si>
    <t>Kehilangan kesadaran</t>
  </si>
  <si>
    <t>Permukaan panas</t>
  </si>
  <si>
    <t>Tidak ada</t>
  </si>
  <si>
    <t>Penerangan</t>
  </si>
  <si>
    <t>Keracunan</t>
  </si>
  <si>
    <t>Sinar laser</t>
  </si>
  <si>
    <t>Tertusuk</t>
  </si>
  <si>
    <t>Bahaya suhu rendah</t>
  </si>
  <si>
    <t>Gesekan</t>
  </si>
  <si>
    <t>Medan magnet</t>
  </si>
  <si>
    <t>Memindahkan barang secara manual</t>
  </si>
  <si>
    <t>Tertindih</t>
  </si>
  <si>
    <t>Bagian yang bergerak</t>
  </si>
  <si>
    <t>Akses yang sempit</t>
  </si>
  <si>
    <t>Kekurangan nafas</t>
  </si>
  <si>
    <t>Luka bakar thermal</t>
  </si>
  <si>
    <t>Radiasi Optik</t>
  </si>
  <si>
    <t>Halangan di atas kepala</t>
  </si>
  <si>
    <t>Pengoksidasi</t>
  </si>
  <si>
    <t>Bagian peralatan yang menonjol</t>
  </si>
  <si>
    <t>Material radioaktif</t>
  </si>
  <si>
    <t>Baterai isi ulang</t>
  </si>
  <si>
    <t>Gerakan anggota tubuh ke atas yang berulang</t>
  </si>
  <si>
    <t>Permukaan licin</t>
  </si>
  <si>
    <t>Tools / Peralatan</t>
  </si>
  <si>
    <t>Zat beracun</t>
  </si>
  <si>
    <t>Posisi tubuh tidak aman</t>
  </si>
  <si>
    <t>Penggunaan terminal dengan tampilan vidio &gt;20 jam/hari</t>
  </si>
  <si>
    <t>Getaran pada tangan</t>
  </si>
  <si>
    <t>Getaran pada tubuh</t>
  </si>
  <si>
    <t>Beban di atas kepala</t>
  </si>
  <si>
    <t>Stress berhubungan dengan pekerjaan</t>
  </si>
  <si>
    <t>Zat karsinogenik dan mutagenik</t>
  </si>
  <si>
    <t>Cedera</t>
  </si>
  <si>
    <t>Elemen tajam</t>
  </si>
  <si>
    <t>Tergores</t>
  </si>
  <si>
    <t>Bekerja di ketinggian</t>
  </si>
  <si>
    <t>Struktur di atas kepala</t>
  </si>
  <si>
    <t>Terbentur</t>
  </si>
  <si>
    <t>Tersandung</t>
  </si>
  <si>
    <t>Tersayat</t>
  </si>
  <si>
    <t>Bekerja di area lalu-lalang kendaraan</t>
  </si>
  <si>
    <t>Beban pengangkatan tidak pada titik center</t>
  </si>
  <si>
    <t>Tertabrak</t>
  </si>
  <si>
    <t>Tertimpa Benda/Material</t>
  </si>
  <si>
    <t>Tersengat listrik</t>
  </si>
  <si>
    <t>Dislokasi</t>
  </si>
  <si>
    <t>Gangguan pendengaran</t>
  </si>
  <si>
    <t>Terjatuh</t>
  </si>
  <si>
    <t>Terjepit</t>
  </si>
  <si>
    <t>Property Damage</t>
  </si>
  <si>
    <t>Tidak Ada</t>
  </si>
  <si>
    <t>Dehidrasi</t>
  </si>
  <si>
    <t>Kebisingan</t>
  </si>
  <si>
    <t>Pekerjaan Panas</t>
  </si>
  <si>
    <t>Kebakaran</t>
  </si>
  <si>
    <t>Gangguan pernapasan</t>
  </si>
  <si>
    <t>Hipotermia</t>
  </si>
  <si>
    <t>Gangguan penglihatan</t>
  </si>
  <si>
    <t>Hand Arm Vibration Syndrom</t>
  </si>
  <si>
    <t>Tremor</t>
  </si>
  <si>
    <t>Sindrom Radiasi</t>
  </si>
  <si>
    <t>Pencemaran lingkungan</t>
  </si>
  <si>
    <t>Kelelahan</t>
  </si>
  <si>
    <t>Kanker/Kerusakan Sel</t>
  </si>
  <si>
    <t>Area ATEX</t>
  </si>
  <si>
    <t>Deskripsi Bahaya
(Hazard Description)</t>
  </si>
  <si>
    <t>Mitigasi Tambahan
(Additional Control Measure)</t>
  </si>
  <si>
    <t>Level Risiko Awal
(Initial Risk level)</t>
  </si>
  <si>
    <t xml:space="preserve">Nama Pekerja </t>
  </si>
  <si>
    <t>Note 1 : JSA ini harus disosialisasikan kepada seluruh pekerja yang terlibat &amp; lakukan diskusi 2 arah sampai semua pekerja mengerti</t>
  </si>
  <si>
    <t>Note 2 : Untuk pekerjaan project, wajib melampirkan WMS</t>
  </si>
  <si>
    <t>Terhimpit</t>
  </si>
  <si>
    <t>Asbestositosis</t>
  </si>
  <si>
    <t>Sesak napas</t>
  </si>
  <si>
    <t>Tertimpa</t>
  </si>
  <si>
    <t>Kulit melepuh</t>
  </si>
  <si>
    <t>Penyakit akibat kerja</t>
  </si>
  <si>
    <t>Iritasi mata</t>
  </si>
  <si>
    <t>Nyeri Otot</t>
  </si>
  <si>
    <t>Kram</t>
  </si>
  <si>
    <t>Nyeri otot</t>
  </si>
  <si>
    <t>Property damage</t>
  </si>
  <si>
    <t>Tidak fokus</t>
  </si>
  <si>
    <t>Terpeleset</t>
  </si>
  <si>
    <t>Kanker</t>
  </si>
  <si>
    <t>Kekurangan napas</t>
  </si>
  <si>
    <t>Paparan gas</t>
  </si>
  <si>
    <t xml:space="preserve">Peralatan rusak </t>
  </si>
  <si>
    <t>*Khusus pekerjaan High Risk, JSA harus direview dan tanda tangan oleh  SO HMS di bawah ini</t>
  </si>
  <si>
    <t>Ruang Terbatas</t>
  </si>
  <si>
    <t>Gangguan pernafasan</t>
  </si>
  <si>
    <t>Pencemaran Lingkungan</t>
  </si>
  <si>
    <t>Kebakran</t>
  </si>
  <si>
    <t>Terperangkap</t>
  </si>
  <si>
    <t>Cedera fisik</t>
  </si>
  <si>
    <t>Iritasi kulit atau mata</t>
  </si>
  <si>
    <t>Gangguan stabilitas (vertigo/pusing)</t>
  </si>
  <si>
    <t>Luka bakar dingin</t>
  </si>
  <si>
    <t>Frostbite</t>
  </si>
  <si>
    <t>Bekerja di area lalu lalang kendaraan</t>
  </si>
  <si>
    <t>Compressed gas atau air</t>
  </si>
  <si>
    <t>Flashes atau Sinar Berkedip</t>
  </si>
  <si>
    <t>Gerakan anggot  tubuh ke atas yang berulang</t>
  </si>
  <si>
    <t>Manual Handling</t>
  </si>
  <si>
    <t>Peralatan belum di cek</t>
  </si>
  <si>
    <t>Pekerjaan panas</t>
  </si>
  <si>
    <t>Persiapan Kegiatan</t>
  </si>
  <si>
    <t>Briefing dan Pembuatan QRP</t>
  </si>
  <si>
    <t>Sepatu Safety</t>
  </si>
  <si>
    <t>Hariyadi Wasis Prabowo</t>
  </si>
  <si>
    <t>Tri Wahyudi</t>
  </si>
  <si>
    <t>M. Fachrur Rozi</t>
  </si>
  <si>
    <t>Supendik</t>
  </si>
  <si>
    <t>: PT. Satria Piranti perkasa</t>
  </si>
  <si>
    <t>Hariyadi Wasis P</t>
  </si>
  <si>
    <t>Tidak ada karena dilakukan di area aman</t>
  </si>
  <si>
    <t>Arif Slamet Wahyudi</t>
  </si>
  <si>
    <t>Mempersiapkan alat kerja:
Toolbox &amp; majun</t>
  </si>
  <si>
    <t>Mempersiapkan area kerja</t>
  </si>
  <si>
    <t>Parkir Unit di tempat yang aman</t>
  </si>
  <si>
    <t>Potensi tertabrak saat pengecekan</t>
  </si>
  <si>
    <t>Potensi tertabrak / menabrak saat parkir unit</t>
  </si>
  <si>
    <t>Potensi Tergores sisi tajam alat kerja</t>
  </si>
  <si>
    <t>Tools, Toolbox</t>
  </si>
  <si>
    <t>Standbyman
Memberitahu pekerja di area sekitar</t>
  </si>
  <si>
    <t>Pengecekan Checklist Unit oleh Operator</t>
  </si>
  <si>
    <t>Pengecekan Visual Kondisi body unit Forklift berkeliling</t>
  </si>
  <si>
    <t>Membuka Cover Penutup Samping Forklift</t>
  </si>
  <si>
    <t>Pengecekan Kekencangan Baut dan Mur Unit bagian depan</t>
  </si>
  <si>
    <t>Debu Terhirup dan terkena mata saat melakukan penyemprotan</t>
  </si>
  <si>
    <t>Potensi Tergores bagian forklift</t>
  </si>
  <si>
    <t>Potensi Tergores bagian cover deck forklift</t>
  </si>
  <si>
    <t>Potensi Tergores bagian cover samping forklift</t>
  </si>
  <si>
    <t>Glove Anti Gores Level 3</t>
  </si>
  <si>
    <t>Masker</t>
  </si>
  <si>
    <t>Menggunakan kaca mata safety dan Masker</t>
  </si>
  <si>
    <t>Pengecekan Kondisi Hose clamp, Coupler, dan Boom Clamp</t>
  </si>
  <si>
    <t>Pre inspection Cleaning dengan Penyemprotan / Vacuum dengan Vacuum Cleaner, Cordless Blower dan majun seluruh bagian Forklift</t>
  </si>
  <si>
    <t>Greasing Pada Bagian Greasing Point Clamp</t>
  </si>
  <si>
    <t>Pengecekan Kondisi Mast dan bearing Mast</t>
  </si>
  <si>
    <t>Greasing Pada Bagian Greasing Point Mast</t>
  </si>
  <si>
    <t>Pengecekan Visual boom hidrolik Tilt dan Lift</t>
  </si>
  <si>
    <t>Pengecekan Tekanan ban dan TWI</t>
  </si>
  <si>
    <t>Potensi Tergores sisi tajam alat kerja dan unit</t>
  </si>
  <si>
    <t>Menggunakan Glove anti gores level 3</t>
  </si>
  <si>
    <t>Pengecekan Level Minyak Rem dan Hose Rem</t>
  </si>
  <si>
    <t>Pengecekan Level Oli Hidrolis dan Kondisi Tangki Hidrolis</t>
  </si>
  <si>
    <t>Pengecekan Jalur  Hose Hydraulic</t>
  </si>
  <si>
    <t>Pengecekan Fisik Kelistrikan</t>
  </si>
  <si>
    <t>Pengecekan Visual Drive Motor dan Hydraulic Motor</t>
  </si>
  <si>
    <t>Pengecekan Visual Control Valve</t>
  </si>
  <si>
    <t>Pengecekan Kondisi Bearing, Knuckle, Axle Sensor dan Tie Rod</t>
  </si>
  <si>
    <t>Pengecekan Kondisi Pin, Bushing dan Karet Penutup</t>
  </si>
  <si>
    <t>Greasing Pada Bagian Greasing Point Steering belakang</t>
  </si>
  <si>
    <t>Pengecekan Jalur kelistrikan</t>
  </si>
  <si>
    <t>Pengecekan Koneksi Kelistrikan, Socket, Pin, Saklar</t>
  </si>
  <si>
    <t>Pengecekan Koneksi Box Fuse</t>
  </si>
  <si>
    <t>Pengecekan Kondisi MPU</t>
  </si>
  <si>
    <t>Pengecekan kondisi batttery Unit</t>
  </si>
  <si>
    <t>Potensi iritasi pada tangan saat melakukan pengecekan</t>
  </si>
  <si>
    <t>Glove Kimia</t>
  </si>
  <si>
    <t>Menggunakan Glove Kima</t>
  </si>
  <si>
    <t>Melepas Kabel koneksi Battery Unit</t>
  </si>
  <si>
    <t>Potensi Tergores bagian socket battery</t>
  </si>
  <si>
    <t>Membuka Cover Penutup Deck Forklift dan Cover Battery</t>
  </si>
  <si>
    <t>Glove Kimia
Apron Kimia
Helm safety with Face Shield</t>
  </si>
  <si>
    <t>Pemasangan kembali Cover deck dan battery</t>
  </si>
  <si>
    <t>Pemasangan kembali Cover Samping</t>
  </si>
  <si>
    <t>Pemasangan kembali Socket battery</t>
  </si>
  <si>
    <t>Mekanik naik pada unit dan Menyalakan Unit, Parking brake Aktif</t>
  </si>
  <si>
    <t>Pengecekan Fungsi Perangkat Safety Belt dan Sensor duduk dengan duduk pada unit dan lepas pasang seat belt</t>
  </si>
  <si>
    <t xml:space="preserve">Pengecekan Fungsi Klakson, Buzzer, Lampu dan Acessoris, </t>
  </si>
  <si>
    <t>Pengecekan Fungsi Lifting dan tilting dan Sensor Ketinggian</t>
  </si>
  <si>
    <t>Pengecekan Fungsi Drive dan Steering dengan mengoperasikan unit maju mundur</t>
  </si>
  <si>
    <t>Pengecekan Fungsi Pengereman dengan Mengoperasikan unit maju mundur</t>
  </si>
  <si>
    <t>Pengecekan Sensor Mundur</t>
  </si>
  <si>
    <t>Potensi terpeleset saat naik di unit forklift</t>
  </si>
  <si>
    <t>Tertabrak / Menabrak</t>
  </si>
  <si>
    <t>- Prosedur 3 Point Contact
- Menggunakan Sepatu safety</t>
  </si>
  <si>
    <t>Pengecekan Fungsi Attachment</t>
  </si>
  <si>
    <t>Potensi fork membentur barang / orang saat pengecekan</t>
  </si>
  <si>
    <t>Forklfit</t>
  </si>
  <si>
    <t>Operator memiliki SIO Aktif
Pembatasan Area</t>
  </si>
  <si>
    <t>Cleaning dan Check Battery Spare</t>
  </si>
  <si>
    <t>Tidak ada karena unit dalam kondisi Stop</t>
  </si>
  <si>
    <t>Potensi terhirup debu saat pembersihan</t>
  </si>
  <si>
    <t>Menggunakan masker debu</t>
  </si>
  <si>
    <t>Pengecekan Fungsi charger dengan conect dan disconect Socket battery</t>
  </si>
  <si>
    <t>Potensi Tersengat listrik saat conect disconect Socket battery</t>
  </si>
  <si>
    <t>Sarung tangan Listrik level 00</t>
  </si>
  <si>
    <t>Menggunakan sarung tangan listrik Level 00</t>
  </si>
  <si>
    <t>Pengisian/pengecekan Elektrolit battery spare</t>
  </si>
  <si>
    <t>Pengisian/pengecekan Elektrolit battery unit</t>
  </si>
  <si>
    <t>Preventive Maintenance Forklift</t>
  </si>
  <si>
    <t>Mekanik mematikan charger dengan menekan tombol off pada charger</t>
  </si>
  <si>
    <t>Potensi tangan tergores saat menekan tombol off</t>
  </si>
  <si>
    <t>Mekanik melepaskan socket battery charger dengan battery spare</t>
  </si>
  <si>
    <t>Potensi tangan tergores saat melepas socket battery</t>
  </si>
  <si>
    <t>Mekanik memasang kembali socket battery</t>
  </si>
  <si>
    <t>Potensi tangan tergores saat pasang socket battery</t>
  </si>
  <si>
    <t>Mekanik menyalakan charger dengan menekan tombol on pada charger</t>
  </si>
  <si>
    <t>Potensi tangan tergores saat menekan tombol on</t>
  </si>
  <si>
    <t>Membuka Cover Penutup battery</t>
  </si>
  <si>
    <t>Pengecekan Kondisi Load, Drive dan Caster Wheel</t>
  </si>
  <si>
    <t>Pengecekan kondisi bolt dan nut caster wheel</t>
  </si>
  <si>
    <t xml:space="preserve">Mekanik turun dari unit dengan mematikan Unit, apply Parking brake, melepas kunci, Lepas Seatbelt dan turun dari unit </t>
  </si>
  <si>
    <t>Potensi terpeleset saat turundi unit forklift</t>
  </si>
  <si>
    <t>Preventive Maintenance Pallet Stacker</t>
  </si>
  <si>
    <t>Membuka Cover Penutup Body belakang Pallet Stacker</t>
  </si>
  <si>
    <t>Potensi Tergores bagian cover Pallet Stacker</t>
  </si>
  <si>
    <t>Potensi Tergores bagian cover battery stacker</t>
  </si>
  <si>
    <t>Pre inspection Cleaning dengan Penyemprotan / Vacuum dengan Vacuum Cleaner, Cordless Blower dan majun seluruh bagian Stacker</t>
  </si>
  <si>
    <t>Pengecekan Kekencangan Baut dan Mur serta kondisi backrest, Fork dan Clamp</t>
  </si>
  <si>
    <t>Pengecekan Kondisi Rantai angkat dan Pelumasan Rantai angkat</t>
  </si>
  <si>
    <t>Pengecekan Visual boom hidrolik Lift</t>
  </si>
  <si>
    <t>Pengecekan Kekencangan Baut dan Mur serta kondisi backrest dan fork</t>
  </si>
  <si>
    <t>Pengecekan kondisi Lengan Pengaman samping</t>
  </si>
  <si>
    <t>Pengecekan Visual Kanopi dan Tiang Kanopi</t>
  </si>
  <si>
    <t>Pengecekan Kondisi velg dan kekencangan Baut Roda, Baut Velg</t>
  </si>
  <si>
    <t>Pengecekan Steering dan Knob</t>
  </si>
  <si>
    <t>Pengecekan Fungsi Tuas kontrol, Tuas Handbrake dan Display</t>
  </si>
  <si>
    <t>Pengecekan Kondisi Hose boom, Nipple, dan Boom</t>
  </si>
  <si>
    <t>Pengecekan Visual Kondisi body unit  Pallet Stacker berkeliling dan bagian bawah</t>
  </si>
  <si>
    <t>Maintenance Battery Spare dan Charger MHE</t>
  </si>
  <si>
    <t>Pekerjaan Selesai menerapkan prosedur house keeping</t>
  </si>
  <si>
    <t>Merapikan Tool / Peralatan</t>
  </si>
  <si>
    <t xml:space="preserve">House keeping </t>
  </si>
  <si>
    <t>Potensi Tergores alat kerja saat merapikan</t>
  </si>
  <si>
    <t>Potensi kaki kejatuhan alat kerja</t>
  </si>
  <si>
    <t>Menggunakan sepatu safety</t>
  </si>
  <si>
    <t>Potensi terpeleset saat melakukan house keeping</t>
  </si>
  <si>
    <t>Cleaning Charger dengan menggunakan Cordless Blower</t>
  </si>
  <si>
    <t>Pembuatan Laporan Pekerjaan</t>
  </si>
  <si>
    <t>Saiful  Arifin</t>
  </si>
  <si>
    <t>Iswanto</t>
  </si>
  <si>
    <t>: Preventive Maintenance MHE</t>
  </si>
  <si>
    <t>: PILOT PLANT</t>
  </si>
  <si>
    <t>Menggunakan Glove, Apron Kima dan Face Shield</t>
  </si>
  <si>
    <t>: Erick Steven L</t>
  </si>
  <si>
    <t>M. Fahrur Rozi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</si>
</sst>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409]d\-mmm\-yy;@"/>
    <numFmt numFmtId="165" formatCode="[$-409]d\-mmm\-yyyy;@"/>
    <numFmt numFmtId="166" formatCode="[$-13809]d\ mmm\ yyyy;@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Times New Roman"/>
      <family val="1"/>
    </font>
    <font>
      <b/>
      <i/>
      <sz val="24"/>
      <color theme="1"/>
      <name val="Calibri"/>
      <family val="2"/>
      <scheme val="minor"/>
    </font>
    <font>
      <sz val="24"/>
      <color theme="1"/>
      <name val="Arial"/>
      <family val="2"/>
    </font>
    <font>
      <b/>
      <sz val="20"/>
      <color theme="1"/>
      <name val="Arial Narrow"/>
      <family val="2"/>
    </font>
    <font>
      <b/>
      <i/>
      <sz val="20"/>
      <color theme="1"/>
      <name val="Arial Narrow"/>
      <family val="2"/>
    </font>
    <font>
      <sz val="20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8"/>
      <color theme="1"/>
      <name val="Calibri"/>
      <family val="2"/>
      <scheme val="minor"/>
    </font>
    <font>
      <sz val="18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Times New Roman"/>
      <family val="2"/>
    </font>
    <font>
      <sz val="12"/>
      <name val="Calibri Light"/>
      <family val="2"/>
      <charset val="204"/>
      <scheme val="major"/>
    </font>
    <font>
      <sz val="11"/>
      <color theme="1"/>
      <name val="Calibri Light"/>
      <family val="2"/>
      <charset val="204"/>
      <scheme val="major"/>
    </font>
    <font>
      <sz val="12"/>
      <name val="Calibri Light"/>
      <family val="2"/>
      <scheme val="major"/>
    </font>
    <font>
      <sz val="12"/>
      <color theme="0"/>
      <name val="Calibri Light"/>
      <family val="2"/>
      <scheme val="major"/>
    </font>
    <font>
      <sz val="16"/>
      <color theme="1"/>
      <name val="Times New Roman"/>
      <family val="1"/>
    </font>
    <font>
      <sz val="22"/>
      <color theme="1"/>
      <name val="Calibri"/>
      <family val="2"/>
      <scheme val="minor"/>
    </font>
    <font>
      <sz val="12"/>
      <color theme="0"/>
      <name val="Calibri Light"/>
      <family val="2"/>
      <charset val="204"/>
      <scheme val="major"/>
    </font>
    <font>
      <b/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23497D"/>
      <name val="Calibri"/>
      <family val="2"/>
      <charset val="204"/>
      <scheme val="minor"/>
    </font>
    <font>
      <sz val="10"/>
      <color rgb="FF222222"/>
      <name val="Arial"/>
      <family val="2"/>
    </font>
    <font>
      <sz val="11"/>
      <name val="Calibri"/>
      <family val="2"/>
      <scheme val="minor"/>
    </font>
    <font>
      <b/>
      <sz val="18"/>
      <color theme="1"/>
      <name val="Arial Narrow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6"/>
      <color theme="4" tint="-0.499984740745262"/>
      <name val="Calibri Light"/>
      <family val="2"/>
      <scheme val="major"/>
    </font>
    <font>
      <b/>
      <sz val="16"/>
      <color theme="3"/>
      <name val="Calibri Light"/>
      <family val="2"/>
      <scheme val="major"/>
    </font>
    <font>
      <b/>
      <sz val="18"/>
      <color theme="1"/>
      <name val="Arial"/>
      <family val="2"/>
    </font>
    <font>
      <b/>
      <sz val="22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" fillId="0" borderId="0"/>
    <xf numFmtId="0" fontId="11" fillId="0" borderId="0"/>
    <xf numFmtId="0" fontId="20" fillId="0" borderId="0"/>
    <xf numFmtId="0" fontId="31" fillId="0" borderId="0"/>
    <xf numFmtId="0" fontId="31" fillId="0" borderId="0"/>
    <xf numFmtId="0" fontId="20" fillId="0" borderId="0"/>
  </cellStyleXfs>
  <cellXfs count="290">
    <xf numFmtId="0" fontId="0" fillId="0" borderId="0" xfId="0"/>
    <xf numFmtId="0" fontId="1" fillId="0" borderId="0" xfId="1"/>
    <xf numFmtId="0" fontId="3" fillId="0" borderId="0" xfId="1" applyFont="1"/>
    <xf numFmtId="0" fontId="8" fillId="0" borderId="3" xfId="1" applyFont="1" applyBorder="1" applyAlignment="1">
      <alignment vertical="center"/>
    </xf>
    <xf numFmtId="0" fontId="10" fillId="0" borderId="0" xfId="1" applyFont="1"/>
    <xf numFmtId="0" fontId="8" fillId="0" borderId="8" xfId="1" applyFont="1" applyBorder="1" applyAlignment="1">
      <alignment vertical="center"/>
    </xf>
    <xf numFmtId="0" fontId="8" fillId="0" borderId="4" xfId="1" applyFont="1" applyBorder="1" applyAlignment="1">
      <alignment vertical="center" wrapText="1"/>
    </xf>
    <xf numFmtId="0" fontId="12" fillId="0" borderId="0" xfId="1" applyFont="1" applyAlignment="1">
      <alignment vertical="center" wrapText="1"/>
    </xf>
    <xf numFmtId="0" fontId="12" fillId="0" borderId="0" xfId="1" applyFont="1"/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15" fillId="0" borderId="0" xfId="1" applyFont="1"/>
    <xf numFmtId="0" fontId="14" fillId="0" borderId="5" xfId="1" applyFont="1" applyBorder="1" applyAlignment="1">
      <alignment horizontal="center" vertical="center"/>
    </xf>
    <xf numFmtId="0" fontId="8" fillId="0" borderId="5" xfId="1" applyFont="1" applyBorder="1" applyAlignment="1">
      <alignment vertical="center"/>
    </xf>
    <xf numFmtId="0" fontId="8" fillId="0" borderId="11" xfId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8" fillId="0" borderId="10" xfId="1" applyFont="1" applyBorder="1" applyAlignment="1">
      <alignment vertical="center"/>
    </xf>
    <xf numFmtId="0" fontId="16" fillId="0" borderId="0" xfId="0" applyFont="1" applyAlignment="1">
      <alignment wrapText="1"/>
    </xf>
    <xf numFmtId="0" fontId="16" fillId="2" borderId="0" xfId="0" applyFont="1" applyFill="1" applyAlignment="1">
      <alignment horizontal="center" wrapText="1"/>
    </xf>
    <xf numFmtId="0" fontId="16" fillId="2" borderId="0" xfId="0" applyFont="1" applyFill="1" applyAlignment="1">
      <alignment wrapText="1"/>
    </xf>
    <xf numFmtId="0" fontId="17" fillId="2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wrapText="1"/>
    </xf>
    <xf numFmtId="0" fontId="19" fillId="3" borderId="15" xfId="0" applyFont="1" applyFill="1" applyBorder="1" applyAlignment="1">
      <alignment horizontal="left" vertical="center" wrapText="1"/>
    </xf>
    <xf numFmtId="0" fontId="22" fillId="13" borderId="17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top" wrapText="1"/>
    </xf>
    <xf numFmtId="0" fontId="19" fillId="0" borderId="0" xfId="0" applyFont="1" applyAlignment="1">
      <alignment horizontal="left" vertical="top" wrapText="1"/>
    </xf>
    <xf numFmtId="0" fontId="23" fillId="5" borderId="18" xfId="0" applyFont="1" applyFill="1" applyBorder="1" applyAlignment="1">
      <alignment vertical="center" wrapText="1"/>
    </xf>
    <xf numFmtId="0" fontId="24" fillId="14" borderId="19" xfId="0" applyFont="1" applyFill="1" applyBorder="1" applyAlignment="1">
      <alignment horizontal="left" vertical="center" wrapText="1"/>
    </xf>
    <xf numFmtId="0" fontId="24" fillId="5" borderId="20" xfId="0" applyFont="1" applyFill="1" applyBorder="1" applyAlignment="1">
      <alignment horizontal="center" vertical="center" wrapText="1"/>
    </xf>
    <xf numFmtId="0" fontId="24" fillId="15" borderId="21" xfId="0" applyFont="1" applyFill="1" applyBorder="1" applyAlignment="1">
      <alignment vertical="center" wrapText="1"/>
    </xf>
    <xf numFmtId="0" fontId="24" fillId="16" borderId="22" xfId="0" applyFont="1" applyFill="1" applyBorder="1" applyAlignment="1">
      <alignment vertical="center" wrapText="1"/>
    </xf>
    <xf numFmtId="0" fontId="16" fillId="15" borderId="20" xfId="0" applyFont="1" applyFill="1" applyBorder="1" applyAlignment="1">
      <alignment horizontal="center" vertical="center" wrapText="1"/>
    </xf>
    <xf numFmtId="49" fontId="24" fillId="17" borderId="21" xfId="0" applyNumberFormat="1" applyFont="1" applyFill="1" applyBorder="1" applyAlignment="1">
      <alignment horizontal="center" vertical="center" wrapText="1"/>
    </xf>
    <xf numFmtId="0" fontId="24" fillId="17" borderId="20" xfId="0" applyFont="1" applyFill="1" applyBorder="1" applyAlignment="1">
      <alignment horizontal="left" vertical="center" wrapText="1"/>
    </xf>
    <xf numFmtId="0" fontId="16" fillId="18" borderId="22" xfId="0" applyFont="1" applyFill="1" applyBorder="1" applyAlignment="1">
      <alignment horizontal="left" vertical="center" wrapText="1"/>
    </xf>
    <xf numFmtId="0" fontId="16" fillId="18" borderId="21" xfId="0" applyFont="1" applyFill="1" applyBorder="1" applyAlignment="1">
      <alignment horizontal="left" vertical="center" wrapText="1"/>
    </xf>
    <xf numFmtId="0" fontId="16" fillId="18" borderId="22" xfId="0" applyFont="1" applyFill="1" applyBorder="1" applyAlignment="1">
      <alignment horizontal="center" vertical="center" wrapText="1"/>
    </xf>
    <xf numFmtId="0" fontId="16" fillId="0" borderId="23" xfId="0" applyFont="1" applyBorder="1" applyAlignment="1">
      <alignment horizontal="left" vertical="center" wrapText="1"/>
    </xf>
    <xf numFmtId="0" fontId="19" fillId="0" borderId="21" xfId="0" applyFont="1" applyBorder="1" applyAlignment="1">
      <alignment horizontal="left" vertical="center" wrapText="1"/>
    </xf>
    <xf numFmtId="0" fontId="19" fillId="15" borderId="22" xfId="0" applyFont="1" applyFill="1" applyBorder="1" applyAlignment="1">
      <alignment vertical="center" wrapText="1"/>
    </xf>
    <xf numFmtId="0" fontId="21" fillId="15" borderId="22" xfId="0" applyFont="1" applyFill="1" applyBorder="1" applyAlignment="1">
      <alignment vertical="center" wrapText="1"/>
    </xf>
    <xf numFmtId="0" fontId="21" fillId="15" borderId="20" xfId="0" applyFont="1" applyFill="1" applyBorder="1" applyAlignment="1">
      <alignment vertical="center" wrapText="1"/>
    </xf>
    <xf numFmtId="0" fontId="21" fillId="0" borderId="0" xfId="0" applyFont="1" applyAlignment="1">
      <alignment vertical="center" wrapText="1"/>
    </xf>
    <xf numFmtId="0" fontId="2" fillId="9" borderId="24" xfId="0" applyFont="1" applyFill="1" applyBorder="1" applyAlignment="1">
      <alignment vertical="center" wrapText="1"/>
    </xf>
    <xf numFmtId="0" fontId="16" fillId="0" borderId="25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24" fillId="14" borderId="19" xfId="0" applyFont="1" applyFill="1" applyBorder="1" applyAlignment="1">
      <alignment vertical="center" wrapText="1"/>
    </xf>
    <xf numFmtId="0" fontId="24" fillId="5" borderId="26" xfId="0" applyFont="1" applyFill="1" applyBorder="1" applyAlignment="1">
      <alignment horizontal="center" vertical="center" wrapText="1"/>
    </xf>
    <xf numFmtId="0" fontId="23" fillId="15" borderId="18" xfId="0" applyFont="1" applyFill="1" applyBorder="1" applyAlignment="1">
      <alignment vertical="center" wrapText="1"/>
    </xf>
    <xf numFmtId="0" fontId="23" fillId="16" borderId="19" xfId="0" applyFont="1" applyFill="1" applyBorder="1" applyAlignment="1">
      <alignment vertical="center" wrapText="1"/>
    </xf>
    <xf numFmtId="0" fontId="16" fillId="15" borderId="26" xfId="0" applyFont="1" applyFill="1" applyBorder="1" applyAlignment="1">
      <alignment horizontal="center" vertical="center" wrapText="1"/>
    </xf>
    <xf numFmtId="49" fontId="24" fillId="17" borderId="18" xfId="0" applyNumberFormat="1" applyFont="1" applyFill="1" applyBorder="1" applyAlignment="1">
      <alignment horizontal="center" vertical="center" wrapText="1"/>
    </xf>
    <xf numFmtId="0" fontId="24" fillId="17" borderId="26" xfId="0" applyFont="1" applyFill="1" applyBorder="1" applyAlignment="1">
      <alignment horizontal="left" vertical="center" wrapText="1"/>
    </xf>
    <xf numFmtId="0" fontId="16" fillId="18" borderId="19" xfId="0" applyFont="1" applyFill="1" applyBorder="1" applyAlignment="1">
      <alignment horizontal="left" vertical="center" wrapText="1"/>
    </xf>
    <xf numFmtId="0" fontId="16" fillId="18" borderId="18" xfId="0" applyFont="1" applyFill="1" applyBorder="1" applyAlignment="1">
      <alignment vertical="center" wrapText="1"/>
    </xf>
    <xf numFmtId="0" fontId="16" fillId="18" borderId="19" xfId="0" applyFont="1" applyFill="1" applyBorder="1" applyAlignment="1">
      <alignment horizontal="center" vertical="center" wrapText="1"/>
    </xf>
    <xf numFmtId="0" fontId="16" fillId="0" borderId="27" xfId="0" quotePrefix="1" applyFont="1" applyBorder="1" applyAlignment="1">
      <alignment vertical="center" wrapText="1"/>
    </xf>
    <xf numFmtId="0" fontId="21" fillId="5" borderId="18" xfId="0" applyFont="1" applyFill="1" applyBorder="1" applyAlignment="1">
      <alignment vertical="center" wrapText="1"/>
    </xf>
    <xf numFmtId="0" fontId="24" fillId="9" borderId="19" xfId="0" applyFont="1" applyFill="1" applyBorder="1" applyAlignment="1">
      <alignment horizontal="left" vertical="center" wrapText="1"/>
    </xf>
    <xf numFmtId="0" fontId="24" fillId="8" borderId="19" xfId="0" applyFont="1" applyFill="1" applyBorder="1" applyAlignment="1">
      <alignment horizontal="left" vertical="center" wrapText="1"/>
    </xf>
    <xf numFmtId="0" fontId="24" fillId="19" borderId="26" xfId="0" applyFont="1" applyFill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6" fillId="8" borderId="18" xfId="0" applyFont="1" applyFill="1" applyBorder="1" applyAlignment="1">
      <alignment vertical="center" wrapText="1"/>
    </xf>
    <xf numFmtId="0" fontId="16" fillId="0" borderId="26" xfId="0" applyFont="1" applyBorder="1" applyAlignment="1">
      <alignment vertical="center" wrapText="1"/>
    </xf>
    <xf numFmtId="0" fontId="24" fillId="19" borderId="19" xfId="0" applyFont="1" applyFill="1" applyBorder="1" applyAlignment="1">
      <alignment horizontal="left" vertical="center" wrapText="1"/>
    </xf>
    <xf numFmtId="0" fontId="26" fillId="19" borderId="18" xfId="0" applyFont="1" applyFill="1" applyBorder="1" applyAlignment="1">
      <alignment vertical="center" wrapText="1"/>
    </xf>
    <xf numFmtId="0" fontId="24" fillId="5" borderId="21" xfId="0" applyFont="1" applyFill="1" applyBorder="1" applyAlignment="1">
      <alignment vertical="center" wrapText="1"/>
    </xf>
    <xf numFmtId="0" fontId="24" fillId="14" borderId="22" xfId="0" applyFont="1" applyFill="1" applyBorder="1" applyAlignment="1">
      <alignment vertical="center" wrapText="1"/>
    </xf>
    <xf numFmtId="0" fontId="16" fillId="0" borderId="27" xfId="0" applyFont="1" applyBorder="1" applyAlignment="1">
      <alignment vertical="center" wrapText="1"/>
    </xf>
    <xf numFmtId="0" fontId="24" fillId="7" borderId="26" xfId="0" applyFont="1" applyFill="1" applyBorder="1" applyAlignment="1">
      <alignment horizontal="left" vertical="center" wrapText="1"/>
    </xf>
    <xf numFmtId="0" fontId="26" fillId="7" borderId="18" xfId="0" applyFont="1" applyFill="1" applyBorder="1" applyAlignment="1">
      <alignment vertical="center" wrapText="1"/>
    </xf>
    <xf numFmtId="0" fontId="24" fillId="5" borderId="28" xfId="0" applyFont="1" applyFill="1" applyBorder="1" applyAlignment="1">
      <alignment horizontal="center" vertical="center" wrapText="1"/>
    </xf>
    <xf numFmtId="0" fontId="23" fillId="15" borderId="29" xfId="0" applyFont="1" applyFill="1" applyBorder="1" applyAlignment="1">
      <alignment vertical="center" wrapText="1"/>
    </xf>
    <xf numFmtId="0" fontId="23" fillId="16" borderId="30" xfId="0" applyFont="1" applyFill="1" applyBorder="1" applyAlignment="1">
      <alignment vertical="center" wrapText="1"/>
    </xf>
    <xf numFmtId="0" fontId="16" fillId="15" borderId="28" xfId="0" applyFont="1" applyFill="1" applyBorder="1" applyAlignment="1">
      <alignment horizontal="center" vertical="center" wrapText="1"/>
    </xf>
    <xf numFmtId="0" fontId="16" fillId="18" borderId="30" xfId="0" applyFont="1" applyFill="1" applyBorder="1" applyAlignment="1">
      <alignment horizontal="left" vertical="center" wrapText="1"/>
    </xf>
    <xf numFmtId="0" fontId="16" fillId="18" borderId="29" xfId="0" quotePrefix="1" applyFont="1" applyFill="1" applyBorder="1" applyAlignment="1">
      <alignment vertical="center" wrapText="1"/>
    </xf>
    <xf numFmtId="0" fontId="16" fillId="18" borderId="30" xfId="0" applyFont="1" applyFill="1" applyBorder="1" applyAlignment="1">
      <alignment horizontal="center" vertical="center" wrapText="1"/>
    </xf>
    <xf numFmtId="0" fontId="16" fillId="0" borderId="31" xfId="0" applyFont="1" applyBorder="1" applyAlignment="1">
      <alignment horizontal="left" vertical="center" wrapText="1"/>
    </xf>
    <xf numFmtId="0" fontId="19" fillId="5" borderId="29" xfId="0" applyFont="1" applyFill="1" applyBorder="1" applyAlignment="1">
      <alignment vertical="center" wrapText="1"/>
    </xf>
    <xf numFmtId="0" fontId="24" fillId="8" borderId="30" xfId="0" applyFont="1" applyFill="1" applyBorder="1" applyAlignment="1">
      <alignment horizontal="left" vertical="center" wrapText="1"/>
    </xf>
    <xf numFmtId="0" fontId="24" fillId="19" borderId="30" xfId="0" applyFont="1" applyFill="1" applyBorder="1" applyAlignment="1">
      <alignment horizontal="left" vertical="center" wrapText="1"/>
    </xf>
    <xf numFmtId="0" fontId="24" fillId="7" borderId="30" xfId="0" applyFont="1" applyFill="1" applyBorder="1" applyAlignment="1">
      <alignment horizontal="left" vertical="center" wrapText="1"/>
    </xf>
    <xf numFmtId="0" fontId="28" fillId="20" borderId="28" xfId="0" applyFont="1" applyFill="1" applyBorder="1" applyAlignment="1">
      <alignment horizontal="left" vertical="center" wrapText="1"/>
    </xf>
    <xf numFmtId="0" fontId="28" fillId="0" borderId="10" xfId="0" applyFont="1" applyBorder="1" applyAlignment="1">
      <alignment horizontal="left" vertical="center" wrapText="1"/>
    </xf>
    <xf numFmtId="0" fontId="29" fillId="21" borderId="29" xfId="0" applyFont="1" applyFill="1" applyBorder="1" applyAlignment="1">
      <alignment vertical="center" wrapText="1"/>
    </xf>
    <xf numFmtId="0" fontId="16" fillId="0" borderId="28" xfId="0" applyFont="1" applyBorder="1" applyAlignment="1">
      <alignment vertical="center" wrapText="1"/>
    </xf>
    <xf numFmtId="0" fontId="23" fillId="0" borderId="0" xfId="0" applyFont="1" applyAlignment="1">
      <alignment vertical="top" wrapText="1"/>
    </xf>
    <xf numFmtId="0" fontId="24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wrapText="1"/>
    </xf>
    <xf numFmtId="0" fontId="23" fillId="0" borderId="0" xfId="0" applyFont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24" fillId="0" borderId="0" xfId="0" applyFont="1" applyAlignment="1">
      <alignment vertical="top" wrapText="1"/>
    </xf>
    <xf numFmtId="49" fontId="16" fillId="0" borderId="0" xfId="0" applyNumberFormat="1" applyFont="1" applyAlignment="1">
      <alignment wrapText="1"/>
    </xf>
    <xf numFmtId="49" fontId="16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wrapText="1"/>
    </xf>
    <xf numFmtId="0" fontId="0" fillId="2" borderId="0" xfId="0" applyFill="1" applyAlignment="1">
      <alignment horizontal="center" vertical="center" wrapText="1"/>
    </xf>
    <xf numFmtId="0" fontId="32" fillId="0" borderId="0" xfId="4" applyFont="1"/>
    <xf numFmtId="0" fontId="0" fillId="2" borderId="27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wrapText="1"/>
    </xf>
    <xf numFmtId="0" fontId="31" fillId="2" borderId="19" xfId="4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32" fillId="0" borderId="0" xfId="4" applyFont="1" applyAlignment="1">
      <alignment horizontal="center" vertical="center"/>
    </xf>
    <xf numFmtId="0" fontId="32" fillId="0" borderId="0" xfId="4" applyFont="1" applyAlignment="1">
      <alignment horizontal="center"/>
    </xf>
    <xf numFmtId="0" fontId="0" fillId="2" borderId="19" xfId="0" applyFill="1" applyBorder="1" applyAlignment="1">
      <alignment horizontal="center" vertical="center" wrapText="1"/>
    </xf>
    <xf numFmtId="0" fontId="31" fillId="2" borderId="19" xfId="4" applyFill="1" applyBorder="1" applyAlignment="1">
      <alignment horizontal="center" vertical="center" wrapText="1"/>
    </xf>
    <xf numFmtId="0" fontId="32" fillId="0" borderId="0" xfId="5" applyFont="1"/>
    <xf numFmtId="0" fontId="32" fillId="0" borderId="19" xfId="5" applyFont="1" applyBorder="1" applyAlignment="1">
      <alignment horizontal="center" vertical="center"/>
    </xf>
    <xf numFmtId="0" fontId="32" fillId="0" borderId="0" xfId="5" applyFont="1" applyAlignment="1">
      <alignment horizontal="center" vertical="center"/>
    </xf>
    <xf numFmtId="0" fontId="33" fillId="0" borderId="0" xfId="0" applyFont="1"/>
    <xf numFmtId="0" fontId="32" fillId="0" borderId="19" xfId="4" applyFont="1" applyBorder="1" applyAlignment="1">
      <alignment horizontal="center" vertical="center"/>
    </xf>
    <xf numFmtId="0" fontId="32" fillId="0" borderId="19" xfId="5" applyFont="1" applyBorder="1" applyAlignment="1">
      <alignment horizontal="center"/>
    </xf>
    <xf numFmtId="0" fontId="32" fillId="0" borderId="0" xfId="5" applyFont="1" applyAlignment="1">
      <alignment horizontal="center"/>
    </xf>
    <xf numFmtId="0" fontId="32" fillId="2" borderId="0" xfId="5" applyFont="1" applyFill="1"/>
    <xf numFmtId="0" fontId="2" fillId="2" borderId="0" xfId="0" applyFont="1" applyFill="1" applyAlignment="1">
      <alignment horizontal="center" vertical="center" wrapText="1"/>
    </xf>
    <xf numFmtId="0" fontId="0" fillId="2" borderId="32" xfId="0" applyFill="1" applyBorder="1" applyAlignment="1">
      <alignment horizontal="center" vertical="center" wrapText="1"/>
    </xf>
    <xf numFmtId="49" fontId="0" fillId="2" borderId="19" xfId="0" applyNumberFormat="1" applyFill="1" applyBorder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34" fillId="0" borderId="19" xfId="4" applyFont="1" applyBorder="1"/>
    <xf numFmtId="0" fontId="34" fillId="8" borderId="19" xfId="4" applyFont="1" applyFill="1" applyBorder="1" applyAlignment="1">
      <alignment horizontal="center" vertical="center"/>
    </xf>
    <xf numFmtId="0" fontId="34" fillId="24" borderId="19" xfId="4" applyFont="1" applyFill="1" applyBorder="1" applyAlignment="1">
      <alignment horizontal="center" vertical="center" wrapText="1"/>
    </xf>
    <xf numFmtId="0" fontId="34" fillId="7" borderId="19" xfId="4" applyFont="1" applyFill="1" applyBorder="1" applyAlignment="1">
      <alignment horizontal="center" vertical="center"/>
    </xf>
    <xf numFmtId="0" fontId="35" fillId="20" borderId="19" xfId="4" applyFont="1" applyFill="1" applyBorder="1" applyAlignment="1">
      <alignment horizontal="center" vertical="center"/>
    </xf>
    <xf numFmtId="0" fontId="34" fillId="9" borderId="19" xfId="4" applyFont="1" applyFill="1" applyBorder="1" applyAlignment="1">
      <alignment horizontal="center" vertical="center"/>
    </xf>
    <xf numFmtId="0" fontId="8" fillId="0" borderId="4" xfId="1" applyFont="1" applyBorder="1" applyAlignment="1">
      <alignment vertical="center"/>
    </xf>
    <xf numFmtId="0" fontId="1" fillId="0" borderId="19" xfId="1" applyBorder="1" applyAlignment="1">
      <alignment horizontal="center"/>
    </xf>
    <xf numFmtId="0" fontId="15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8" fillId="0" borderId="12" xfId="1" applyFont="1" applyBorder="1" applyAlignment="1">
      <alignment vertical="center"/>
    </xf>
    <xf numFmtId="0" fontId="8" fillId="0" borderId="12" xfId="1" applyFont="1" applyBorder="1" applyAlignment="1">
      <alignment horizontal="center" vertical="center" wrapText="1"/>
    </xf>
    <xf numFmtId="0" fontId="37" fillId="0" borderId="19" xfId="1" applyFont="1" applyBorder="1" applyAlignment="1">
      <alignment horizontal="center"/>
    </xf>
    <xf numFmtId="0" fontId="35" fillId="0" borderId="0" xfId="4" applyFont="1"/>
    <xf numFmtId="0" fontId="38" fillId="0" borderId="0" xfId="4" applyFont="1" applyAlignment="1">
      <alignment horizontal="center" vertical="center"/>
    </xf>
    <xf numFmtId="165" fontId="38" fillId="0" borderId="0" xfId="4" applyNumberFormat="1" applyFont="1" applyAlignment="1">
      <alignment horizontal="center" vertical="center"/>
    </xf>
    <xf numFmtId="14" fontId="38" fillId="0" borderId="0" xfId="4" applyNumberFormat="1" applyFont="1" applyAlignment="1">
      <alignment horizontal="center" vertical="center"/>
    </xf>
    <xf numFmtId="0" fontId="38" fillId="0" borderId="0" xfId="4" applyFont="1"/>
    <xf numFmtId="0" fontId="37" fillId="0" borderId="32" xfId="1" applyFont="1" applyBorder="1"/>
    <xf numFmtId="49" fontId="23" fillId="17" borderId="18" xfId="6" applyNumberFormat="1" applyFont="1" applyFill="1" applyBorder="1" applyAlignment="1">
      <alignment horizontal="center" vertical="center" wrapText="1"/>
    </xf>
    <xf numFmtId="49" fontId="23" fillId="17" borderId="26" xfId="6" applyNumberFormat="1" applyFont="1" applyFill="1" applyBorder="1" applyAlignment="1">
      <alignment horizontal="left" vertical="center" wrapText="1"/>
    </xf>
    <xf numFmtId="49" fontId="23" fillId="17" borderId="29" xfId="6" applyNumberFormat="1" applyFont="1" applyFill="1" applyBorder="1" applyAlignment="1">
      <alignment horizontal="center" vertical="center" wrapText="1"/>
    </xf>
    <xf numFmtId="49" fontId="23" fillId="17" borderId="28" xfId="6" applyNumberFormat="1" applyFont="1" applyFill="1" applyBorder="1" applyAlignment="1">
      <alignment horizontal="left" vertical="center" wrapText="1"/>
    </xf>
    <xf numFmtId="49" fontId="23" fillId="0" borderId="0" xfId="6" applyNumberFormat="1" applyFont="1" applyAlignment="1">
      <alignment horizontal="center" vertical="top" wrapText="1"/>
    </xf>
    <xf numFmtId="49" fontId="23" fillId="0" borderId="0" xfId="6" applyNumberFormat="1" applyFont="1" applyAlignment="1">
      <alignment horizontal="left" vertical="top" wrapText="1"/>
    </xf>
    <xf numFmtId="0" fontId="8" fillId="0" borderId="10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0" xfId="1" applyFont="1" applyAlignment="1">
      <alignment vertical="center"/>
    </xf>
    <xf numFmtId="0" fontId="10" fillId="6" borderId="0" xfId="1" applyFont="1" applyFill="1"/>
    <xf numFmtId="0" fontId="37" fillId="0" borderId="34" xfId="1" applyFont="1" applyBorder="1"/>
    <xf numFmtId="0" fontId="37" fillId="0" borderId="19" xfId="1" applyFont="1" applyBorder="1"/>
    <xf numFmtId="0" fontId="42" fillId="5" borderId="35" xfId="0" applyFont="1" applyFill="1" applyBorder="1" applyAlignment="1">
      <alignment horizontal="center" vertical="center"/>
    </xf>
    <xf numFmtId="0" fontId="42" fillId="5" borderId="36" xfId="0" applyFont="1" applyFill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0" fontId="20" fillId="2" borderId="0" xfId="0" applyFont="1" applyFill="1" applyAlignment="1">
      <alignment horizontal="left" vertical="center"/>
    </xf>
    <xf numFmtId="0" fontId="41" fillId="0" borderId="0" xfId="0" applyFont="1"/>
    <xf numFmtId="0" fontId="20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/>
    </xf>
    <xf numFmtId="0" fontId="42" fillId="0" borderId="38" xfId="0" applyFont="1" applyBorder="1" applyAlignment="1">
      <alignment horizontal="center" vertical="center"/>
    </xf>
    <xf numFmtId="0" fontId="20" fillId="0" borderId="35" xfId="0" applyFont="1" applyBorder="1" applyAlignment="1">
      <alignment horizontal="left" vertical="center"/>
    </xf>
    <xf numFmtId="0" fontId="43" fillId="0" borderId="35" xfId="0" applyFont="1" applyBorder="1" applyAlignment="1">
      <alignment horizontal="left" vertical="center"/>
    </xf>
    <xf numFmtId="0" fontId="20" fillId="0" borderId="35" xfId="0" applyFont="1" applyBorder="1"/>
    <xf numFmtId="0" fontId="44" fillId="0" borderId="0" xfId="0" applyFont="1"/>
    <xf numFmtId="0" fontId="20" fillId="0" borderId="37" xfId="0" applyFont="1" applyBorder="1" applyAlignment="1">
      <alignment horizontal="left" vertical="center"/>
    </xf>
    <xf numFmtId="0" fontId="20" fillId="0" borderId="19" xfId="0" applyFont="1" applyBorder="1" applyAlignment="1">
      <alignment horizontal="left" vertical="center"/>
    </xf>
    <xf numFmtId="0" fontId="20" fillId="0" borderId="38" xfId="0" applyFont="1" applyBorder="1" applyAlignment="1">
      <alignment horizontal="left" vertical="center"/>
    </xf>
    <xf numFmtId="0" fontId="44" fillId="0" borderId="35" xfId="0" applyFont="1" applyBorder="1"/>
    <xf numFmtId="0" fontId="20" fillId="0" borderId="39" xfId="0" applyFont="1" applyBorder="1" applyAlignment="1">
      <alignment horizontal="left" vertical="center"/>
    </xf>
    <xf numFmtId="0" fontId="1" fillId="0" borderId="19" xfId="1" applyBorder="1"/>
    <xf numFmtId="0" fontId="13" fillId="0" borderId="19" xfId="1" applyFont="1" applyBorder="1" applyAlignment="1">
      <alignment vertical="center"/>
    </xf>
    <xf numFmtId="0" fontId="8" fillId="0" borderId="7" xfId="1" applyFont="1" applyBorder="1" applyAlignment="1">
      <alignment vertical="center"/>
    </xf>
    <xf numFmtId="0" fontId="36" fillId="0" borderId="4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46" fillId="0" borderId="19" xfId="0" applyFont="1" applyBorder="1" applyAlignment="1">
      <alignment horizontal="left" vertical="center"/>
    </xf>
    <xf numFmtId="0" fontId="47" fillId="0" borderId="19" xfId="0" applyFont="1" applyBorder="1" applyAlignment="1">
      <alignment horizontal="left" vertical="center"/>
    </xf>
    <xf numFmtId="0" fontId="47" fillId="0" borderId="19" xfId="0" applyFont="1" applyBorder="1" applyAlignment="1">
      <alignment horizontal="left"/>
    </xf>
    <xf numFmtId="0" fontId="48" fillId="6" borderId="19" xfId="0" applyFont="1" applyFill="1" applyBorder="1" applyAlignment="1">
      <alignment horizontal="center" vertical="center" wrapText="1"/>
    </xf>
    <xf numFmtId="0" fontId="49" fillId="22" borderId="4" xfId="4" applyFont="1" applyFill="1" applyBorder="1" applyAlignment="1">
      <alignment horizontal="center" vertical="center" wrapText="1"/>
    </xf>
    <xf numFmtId="0" fontId="49" fillId="22" borderId="41" xfId="4" applyFont="1" applyFill="1" applyBorder="1" applyAlignment="1">
      <alignment horizontal="center" vertical="center" wrapText="1"/>
    </xf>
    <xf numFmtId="0" fontId="50" fillId="23" borderId="4" xfId="4" applyFont="1" applyFill="1" applyBorder="1" applyAlignment="1">
      <alignment horizontal="center" vertical="center" wrapText="1"/>
    </xf>
    <xf numFmtId="0" fontId="48" fillId="6" borderId="42" xfId="0" applyFont="1" applyFill="1" applyBorder="1" applyAlignment="1">
      <alignment horizontal="center" vertical="center" wrapText="1"/>
    </xf>
    <xf numFmtId="0" fontId="37" fillId="0" borderId="19" xfId="1" applyFont="1" applyBorder="1" applyAlignment="1">
      <alignment vertical="center"/>
    </xf>
    <xf numFmtId="0" fontId="12" fillId="0" borderId="19" xfId="1" applyFont="1" applyBorder="1"/>
    <xf numFmtId="0" fontId="37" fillId="6" borderId="20" xfId="0" applyFont="1" applyFill="1" applyBorder="1" applyAlignment="1">
      <alignment horizontal="center" vertical="center"/>
    </xf>
    <xf numFmtId="0" fontId="37" fillId="0" borderId="22" xfId="1" applyFont="1" applyBorder="1"/>
    <xf numFmtId="0" fontId="16" fillId="6" borderId="20" xfId="0" applyFont="1" applyFill="1" applyBorder="1" applyAlignment="1">
      <alignment horizontal="center" vertical="center"/>
    </xf>
    <xf numFmtId="0" fontId="37" fillId="0" borderId="19" xfId="1" quotePrefix="1" applyFont="1" applyBorder="1" applyAlignment="1">
      <alignment horizontal="left" vertical="top" wrapText="1"/>
    </xf>
    <xf numFmtId="0" fontId="37" fillId="0" borderId="19" xfId="1" applyFont="1" applyBorder="1" applyAlignment="1">
      <alignment vertical="top" wrapText="1"/>
    </xf>
    <xf numFmtId="0" fontId="37" fillId="0" borderId="19" xfId="1" applyFont="1" applyBorder="1" applyAlignment="1">
      <alignment vertical="top"/>
    </xf>
    <xf numFmtId="0" fontId="37" fillId="0" borderId="32" xfId="1" applyFont="1" applyBorder="1" applyAlignment="1">
      <alignment vertical="top"/>
    </xf>
    <xf numFmtId="0" fontId="12" fillId="0" borderId="19" xfId="1" applyFont="1" applyBorder="1" applyAlignment="1">
      <alignment vertical="top"/>
    </xf>
    <xf numFmtId="0" fontId="37" fillId="0" borderId="19" xfId="1" applyFont="1" applyBorder="1" applyAlignment="1">
      <alignment horizontal="center" vertical="top"/>
    </xf>
    <xf numFmtId="0" fontId="37" fillId="0" borderId="19" xfId="1" applyFont="1" applyBorder="1" applyAlignment="1">
      <alignment horizontal="left" vertical="top"/>
    </xf>
    <xf numFmtId="0" fontId="13" fillId="0" borderId="19" xfId="1" applyFont="1" applyBorder="1" applyAlignment="1">
      <alignment horizontal="center" vertical="top"/>
    </xf>
    <xf numFmtId="0" fontId="13" fillId="0" borderId="19" xfId="1" applyFont="1" applyBorder="1" applyAlignment="1">
      <alignment horizontal="left" vertical="top"/>
    </xf>
    <xf numFmtId="0" fontId="37" fillId="0" borderId="19" xfId="1" applyFont="1" applyBorder="1" applyAlignment="1">
      <alignment horizontal="left" vertical="top" wrapText="1"/>
    </xf>
    <xf numFmtId="0" fontId="52" fillId="0" borderId="19" xfId="1" applyFont="1" applyBorder="1" applyAlignment="1">
      <alignment vertical="center"/>
    </xf>
    <xf numFmtId="0" fontId="51" fillId="0" borderId="19" xfId="1" applyFont="1" applyBorder="1" applyAlignment="1">
      <alignment horizontal="center" vertical="top"/>
    </xf>
    <xf numFmtId="0" fontId="2" fillId="0" borderId="5" xfId="1" applyFont="1" applyBorder="1" applyAlignment="1">
      <alignment horizontal="left" vertical="center"/>
    </xf>
    <xf numFmtId="0" fontId="8" fillId="0" borderId="2" xfId="1" applyFont="1" applyBorder="1" applyAlignment="1">
      <alignment horizontal="center" vertical="center"/>
    </xf>
    <xf numFmtId="0" fontId="52" fillId="0" borderId="19" xfId="1" applyFont="1" applyBorder="1" applyAlignment="1">
      <alignment horizontal="left" vertical="top" wrapText="1"/>
    </xf>
    <xf numFmtId="166" fontId="8" fillId="0" borderId="9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45" fillId="0" borderId="14" xfId="1" applyFont="1" applyBorder="1" applyAlignment="1">
      <alignment horizontal="center" vertical="center" wrapText="1"/>
    </xf>
    <xf numFmtId="0" fontId="45" fillId="0" borderId="15" xfId="1" applyFont="1" applyBorder="1" applyAlignment="1">
      <alignment horizontal="center" vertical="center" wrapText="1"/>
    </xf>
    <xf numFmtId="0" fontId="45" fillId="0" borderId="16" xfId="1" applyFont="1" applyBorder="1" applyAlignment="1">
      <alignment horizontal="center" vertical="center" wrapText="1"/>
    </xf>
    <xf numFmtId="166" fontId="8" fillId="0" borderId="11" xfId="1" applyNumberFormat="1" applyFont="1" applyBorder="1" applyAlignment="1">
      <alignment horizontal="center" vertical="center"/>
    </xf>
    <xf numFmtId="166" fontId="8" fillId="0" borderId="5" xfId="1" applyNumberFormat="1" applyFont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49" fillId="5" borderId="33" xfId="4" applyFont="1" applyFill="1" applyBorder="1" applyAlignment="1">
      <alignment horizontal="center" vertical="center" wrapText="1"/>
    </xf>
    <xf numFmtId="0" fontId="49" fillId="5" borderId="40" xfId="4" applyFont="1" applyFill="1" applyBorder="1" applyAlignment="1">
      <alignment horizontal="center" vertical="center" wrapText="1"/>
    </xf>
    <xf numFmtId="0" fontId="8" fillId="0" borderId="11" xfId="1" applyFont="1" applyBorder="1" applyAlignment="1">
      <alignment horizontal="left" vertical="center"/>
    </xf>
    <xf numFmtId="0" fontId="8" fillId="0" borderId="5" xfId="1" applyFont="1" applyBorder="1" applyAlignment="1">
      <alignment horizontal="left" vertical="center"/>
    </xf>
    <xf numFmtId="0" fontId="9" fillId="4" borderId="9" xfId="1" applyFont="1" applyFill="1" applyBorder="1" applyAlignment="1">
      <alignment horizontal="center" vertical="center"/>
    </xf>
    <xf numFmtId="0" fontId="9" fillId="4" borderId="8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/>
    </xf>
    <xf numFmtId="0" fontId="9" fillId="3" borderId="9" xfId="1" applyFont="1" applyFill="1" applyBorder="1" applyAlignment="1">
      <alignment horizontal="center" vertical="center"/>
    </xf>
    <xf numFmtId="0" fontId="9" fillId="3" borderId="10" xfId="1" applyFont="1" applyFill="1" applyBorder="1" applyAlignment="1">
      <alignment horizontal="center" vertical="center"/>
    </xf>
    <xf numFmtId="0" fontId="9" fillId="3" borderId="8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left" vertical="center"/>
    </xf>
    <xf numFmtId="0" fontId="8" fillId="0" borderId="3" xfId="1" applyFont="1" applyBorder="1" applyAlignment="1">
      <alignment horizontal="left" vertical="center"/>
    </xf>
    <xf numFmtId="0" fontId="8" fillId="0" borderId="9" xfId="1" applyFont="1" applyBorder="1" applyAlignment="1">
      <alignment horizontal="left" vertical="center"/>
    </xf>
    <xf numFmtId="0" fontId="8" fillId="0" borderId="8" xfId="1" applyFont="1" applyBorder="1" applyAlignment="1">
      <alignment horizontal="left" vertical="center"/>
    </xf>
    <xf numFmtId="164" fontId="8" fillId="0" borderId="11" xfId="1" applyNumberFormat="1" applyFont="1" applyBorder="1" applyAlignment="1">
      <alignment horizontal="left" vertical="center"/>
    </xf>
    <xf numFmtId="164" fontId="8" fillId="0" borderId="5" xfId="1" applyNumberFormat="1" applyFont="1" applyBorder="1" applyAlignment="1">
      <alignment horizontal="left" vertical="center"/>
    </xf>
    <xf numFmtId="0" fontId="8" fillId="0" borderId="11" xfId="1" applyFont="1" applyBorder="1" applyAlignment="1">
      <alignment horizontal="left" vertical="center" wrapText="1"/>
    </xf>
    <xf numFmtId="0" fontId="8" fillId="0" borderId="5" xfId="1" applyFont="1" applyBorder="1" applyAlignment="1">
      <alignment horizontal="left" vertical="center" wrapText="1"/>
    </xf>
    <xf numFmtId="0" fontId="14" fillId="0" borderId="10" xfId="1" applyFont="1" applyBorder="1" applyAlignment="1">
      <alignment horizontal="left" vertical="top"/>
    </xf>
    <xf numFmtId="0" fontId="14" fillId="0" borderId="13" xfId="1" applyFont="1" applyBorder="1" applyAlignment="1">
      <alignment horizontal="left" vertical="center" wrapText="1"/>
    </xf>
    <xf numFmtId="0" fontId="40" fillId="0" borderId="2" xfId="1" applyFont="1" applyBorder="1" applyAlignment="1">
      <alignment horizontal="center"/>
    </xf>
    <xf numFmtId="0" fontId="39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49" fillId="22" borderId="14" xfId="4" applyFont="1" applyFill="1" applyBorder="1" applyAlignment="1">
      <alignment horizontal="center" vertical="center" wrapText="1"/>
    </xf>
    <xf numFmtId="0" fontId="49" fillId="22" borderId="15" xfId="4" applyFont="1" applyFill="1" applyBorder="1" applyAlignment="1">
      <alignment horizontal="center" vertical="center" wrapText="1"/>
    </xf>
    <xf numFmtId="0" fontId="49" fillId="22" borderId="16" xfId="4" applyFont="1" applyFill="1" applyBorder="1" applyAlignment="1">
      <alignment horizontal="center" vertical="center" wrapText="1"/>
    </xf>
    <xf numFmtId="0" fontId="50" fillId="23" borderId="14" xfId="5" applyFont="1" applyFill="1" applyBorder="1" applyAlignment="1">
      <alignment horizontal="center" vertical="center"/>
    </xf>
    <xf numFmtId="0" fontId="50" fillId="23" borderId="15" xfId="5" applyFont="1" applyFill="1" applyBorder="1" applyAlignment="1">
      <alignment horizontal="center" vertical="center"/>
    </xf>
    <xf numFmtId="0" fontId="50" fillId="23" borderId="16" xfId="5" applyFont="1" applyFill="1" applyBorder="1" applyAlignment="1">
      <alignment horizontal="center" vertical="center"/>
    </xf>
    <xf numFmtId="0" fontId="8" fillId="0" borderId="11" xfId="1" applyFont="1" applyBorder="1" applyAlignment="1">
      <alignment vertical="center"/>
    </xf>
    <xf numFmtId="0" fontId="8" fillId="0" borderId="12" xfId="1" applyFont="1" applyBorder="1" applyAlignment="1">
      <alignment vertical="center"/>
    </xf>
    <xf numFmtId="0" fontId="8" fillId="0" borderId="11" xfId="1" applyFont="1" applyBorder="1" applyAlignment="1">
      <alignment vertical="center" wrapText="1"/>
    </xf>
    <xf numFmtId="0" fontId="8" fillId="0" borderId="12" xfId="1" applyFont="1" applyBorder="1" applyAlignment="1">
      <alignment vertical="center" wrapText="1"/>
    </xf>
    <xf numFmtId="0" fontId="8" fillId="0" borderId="11" xfId="1" applyFont="1" applyBorder="1" applyAlignment="1">
      <alignment horizontal="left" vertical="top"/>
    </xf>
    <xf numFmtId="0" fontId="8" fillId="0" borderId="12" xfId="1" applyFont="1" applyBorder="1" applyAlignment="1">
      <alignment horizontal="left" vertical="top"/>
    </xf>
    <xf numFmtId="0" fontId="3" fillId="0" borderId="1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8" fillId="0" borderId="6" xfId="1" applyFont="1" applyBorder="1" applyAlignment="1">
      <alignment vertical="center"/>
    </xf>
    <xf numFmtId="0" fontId="8" fillId="0" borderId="0" xfId="1" applyFont="1" applyAlignment="1">
      <alignment vertical="center"/>
    </xf>
    <xf numFmtId="0" fontId="8" fillId="0" borderId="9" xfId="1" applyFont="1" applyBorder="1" applyAlignment="1">
      <alignment vertical="center"/>
    </xf>
    <xf numFmtId="0" fontId="8" fillId="0" borderId="10" xfId="1" applyFont="1" applyBorder="1" applyAlignment="1">
      <alignment vertical="center"/>
    </xf>
    <xf numFmtId="0" fontId="8" fillId="0" borderId="0" xfId="1" applyFont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19" fillId="10" borderId="11" xfId="0" applyFont="1" applyFill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center" wrapText="1"/>
    </xf>
    <xf numFmtId="0" fontId="19" fillId="10" borderId="5" xfId="0" applyFont="1" applyFill="1" applyBorder="1" applyAlignment="1">
      <alignment horizontal="center" vertical="center" wrapText="1"/>
    </xf>
    <xf numFmtId="0" fontId="19" fillId="11" borderId="14" xfId="0" applyFont="1" applyFill="1" applyBorder="1" applyAlignment="1">
      <alignment horizontal="center" vertical="center" wrapText="1"/>
    </xf>
    <xf numFmtId="0" fontId="19" fillId="11" borderId="15" xfId="0" applyFont="1" applyFill="1" applyBorder="1" applyAlignment="1">
      <alignment horizontal="center" vertical="center" wrapText="1"/>
    </xf>
    <xf numFmtId="0" fontId="19" fillId="11" borderId="16" xfId="0" applyFont="1" applyFill="1" applyBorder="1" applyAlignment="1">
      <alignment horizontal="center" vertical="center" wrapText="1"/>
    </xf>
    <xf numFmtId="49" fontId="21" fillId="12" borderId="14" xfId="6" applyNumberFormat="1" applyFont="1" applyFill="1" applyBorder="1" applyAlignment="1">
      <alignment horizontal="center" vertical="top" wrapText="1"/>
    </xf>
    <xf numFmtId="49" fontId="21" fillId="12" borderId="16" xfId="6" applyNumberFormat="1" applyFont="1" applyFill="1" applyBorder="1" applyAlignment="1">
      <alignment horizontal="center" vertical="top" wrapText="1"/>
    </xf>
    <xf numFmtId="0" fontId="19" fillId="3" borderId="14" xfId="0" applyFont="1" applyFill="1" applyBorder="1" applyAlignment="1">
      <alignment horizontal="center" vertical="center" wrapText="1"/>
    </xf>
    <xf numFmtId="0" fontId="19" fillId="3" borderId="15" xfId="0" applyFont="1" applyFill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top" wrapText="1"/>
    </xf>
    <xf numFmtId="0" fontId="19" fillId="0" borderId="15" xfId="0" applyFont="1" applyBorder="1" applyAlignment="1">
      <alignment horizontal="center" vertical="top" wrapText="1"/>
    </xf>
    <xf numFmtId="0" fontId="19" fillId="0" borderId="16" xfId="0" applyFont="1" applyBorder="1" applyAlignment="1">
      <alignment horizontal="center" vertical="top" wrapText="1"/>
    </xf>
  </cellXfs>
  <cellStyles count="7">
    <cellStyle name="Normal" xfId="0" builtinId="0"/>
    <cellStyle name="Normal 2" xfId="1" xr:uid="{00000000-0005-0000-0000-000001000000}"/>
    <cellStyle name="Normal 2 2" xfId="4" xr:uid="{27802BDE-2A04-43D6-9D8E-848BDD6BD20B}"/>
    <cellStyle name="Normal 2 2 2" xfId="6" xr:uid="{036E155F-B271-4D40-BEDB-E17CF4326AE7}"/>
    <cellStyle name="Normal 2 3" xfId="3" xr:uid="{F5C44ABF-F615-49E2-96A7-214E10B91EE8}"/>
    <cellStyle name="Normal 4" xfId="5" xr:uid="{103F22E1-4409-450C-9119-8F7A5DE1FECB}"/>
    <cellStyle name="標準_ダイセキ施工要領書様式" xfId="2" xr:uid="{00000000-0005-0000-0000-000002000000}"/>
  </cellStyles>
  <dxfs count="26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top style="hair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23497D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9EA8CC98-1BF7-4784-BC42-48D066ACB5A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</xdr:row>
      <xdr:rowOff>123825</xdr:rowOff>
    </xdr:from>
    <xdr:to>
      <xdr:col>1</xdr:col>
      <xdr:colOff>852487</xdr:colOff>
      <xdr:row>2</xdr:row>
      <xdr:rowOff>403224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344FC1-8817-4679-A682-531BD02A78D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14325"/>
          <a:ext cx="1246187" cy="749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4120886</xdr:colOff>
      <xdr:row>11</xdr:row>
      <xdr:rowOff>608543</xdr:rowOff>
    </xdr:from>
    <xdr:to>
      <xdr:col>4</xdr:col>
      <xdr:colOff>896570</xdr:colOff>
      <xdr:row>11</xdr:row>
      <xdr:rowOff>3175001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23BFCC2-4936-4D32-9779-E96916255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5330" y="5371043"/>
          <a:ext cx="10684165" cy="2566458"/>
        </a:xfrm>
        <a:prstGeom prst="rect">
          <a:avLst/>
        </a:prstGeom>
      </xdr:spPr>
    </xdr:pic>
    <xdr:clientData/>
  </xdr:twoCellAnchor>
  <xdr:twoCellAnchor editAs="oneCell">
    <xdr:from>
      <xdr:col>4</xdr:col>
      <xdr:colOff>2930461</xdr:colOff>
      <xdr:row>11</xdr:row>
      <xdr:rowOff>215473</xdr:rowOff>
    </xdr:from>
    <xdr:to>
      <xdr:col>5</xdr:col>
      <xdr:colOff>2245689</xdr:colOff>
      <xdr:row>11</xdr:row>
      <xdr:rowOff>4283442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5AB4839-13E9-4173-A57A-E3DDCC75A88E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38643" y="4891382"/>
          <a:ext cx="5112200" cy="406796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zhora.sharepoint.com/teams/IOSTrainingMaterialIzhora/Shared%20Documents/Environment%20Health%20and%20Safety%20Training%20Material/EHS%20Job%20Safety%20Analysis%20(JSA)/JSA%20Template(ru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b Safety Analysis"/>
      <sheetName val="Справочник"/>
      <sheetName val="Списки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8E7BD-C015-46FA-906E-935CE14766D9}" name="Table1" displayName="Table1" ref="A1:A52" totalsRowShown="0" headerRowDxfId="25" dataDxfId="23" headerRowBorderDxfId="24" tableBorderDxfId="22">
  <sortState xmlns:xlrd2="http://schemas.microsoft.com/office/spreadsheetml/2017/richdata2" ref="A2:B50">
    <sortCondition ref="A1:A50"/>
  </sortState>
  <tableColumns count="1">
    <tableColumn id="1" xr3:uid="{10D0C53D-F44A-4B63-A051-1FEA18681381}" name="Hazard list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7BF87-E520-4EC0-BCC9-6F7F41A74AD9}">
  <sheetPr>
    <tabColor theme="9"/>
    <pageSetUpPr fitToPage="1"/>
  </sheetPr>
  <dimension ref="A1:V32"/>
  <sheetViews>
    <sheetView showGridLines="0" zoomScale="44" zoomScaleNormal="90" workbookViewId="0">
      <pane ySplit="2" topLeftCell="A3" activePane="bottomLeft" state="frozen"/>
      <selection pane="bottomLeft" activeCell="V4" sqref="V4"/>
    </sheetView>
  </sheetViews>
  <sheetFormatPr defaultColWidth="8.6640625" defaultRowHeight="15.6"/>
  <cols>
    <col min="1" max="1" width="19" style="17" customWidth="1"/>
    <col min="2" max="2" width="46.33203125" style="17" customWidth="1"/>
    <col min="3" max="3" width="7.33203125" style="17" customWidth="1"/>
    <col min="4" max="7" width="30.44140625" style="17" customWidth="1"/>
    <col min="8" max="8" width="7.6640625" style="17" customWidth="1"/>
    <col min="9" max="9" width="11" style="17" customWidth="1"/>
    <col min="10" max="11" width="21.33203125" style="17" customWidth="1"/>
    <col min="12" max="12" width="26.33203125" style="17" customWidth="1"/>
    <col min="13" max="13" width="8.6640625" style="17"/>
    <col min="14" max="14" width="53.33203125" style="17" customWidth="1"/>
    <col min="15" max="15" width="15.33203125" style="97" customWidth="1"/>
    <col min="16" max="19" width="15.33203125" style="17" customWidth="1"/>
    <col min="20" max="20" width="4.6640625" style="17" customWidth="1"/>
    <col min="21" max="21" width="16.33203125" style="17" customWidth="1"/>
    <col min="22" max="22" width="60.6640625" style="17" customWidth="1"/>
    <col min="23" max="23" width="8.6640625" style="17" customWidth="1"/>
    <col min="24" max="16384" width="8.6640625" style="17"/>
  </cols>
  <sheetData>
    <row r="1" spans="1:22" s="19" customFormat="1" ht="16.2" thickBot="1">
      <c r="A1" s="17"/>
      <c r="B1" s="17"/>
      <c r="C1" s="18"/>
      <c r="H1" s="20"/>
      <c r="O1" s="21"/>
      <c r="T1" s="17"/>
    </row>
    <row r="2" spans="1:22" ht="16.2" thickBot="1">
      <c r="A2" s="277" t="s">
        <v>16</v>
      </c>
      <c r="B2" s="278"/>
      <c r="C2" s="279"/>
      <c r="D2" s="280" t="s">
        <v>17</v>
      </c>
      <c r="E2" s="281"/>
      <c r="F2" s="281"/>
      <c r="G2" s="281"/>
      <c r="H2" s="282"/>
      <c r="I2" s="283" t="s">
        <v>18</v>
      </c>
      <c r="J2" s="284"/>
      <c r="K2" s="22" t="s">
        <v>19</v>
      </c>
      <c r="L2" s="285" t="s">
        <v>20</v>
      </c>
      <c r="M2" s="286"/>
      <c r="N2" s="23" t="s">
        <v>21</v>
      </c>
      <c r="O2" s="287" t="s">
        <v>22</v>
      </c>
      <c r="P2" s="288"/>
      <c r="Q2" s="288"/>
      <c r="R2" s="288"/>
      <c r="S2" s="289"/>
      <c r="T2" s="24"/>
      <c r="U2" s="25"/>
    </row>
    <row r="3" spans="1:22" s="45" customFormat="1" ht="58.95" customHeight="1">
      <c r="A3" s="26" t="s">
        <v>23</v>
      </c>
      <c r="B3" s="27" t="s">
        <v>201</v>
      </c>
      <c r="C3" s="28">
        <v>1</v>
      </c>
      <c r="D3" s="29" t="s">
        <v>24</v>
      </c>
      <c r="E3" s="30" t="s">
        <v>202</v>
      </c>
      <c r="F3" s="30" t="s">
        <v>203</v>
      </c>
      <c r="G3" s="30" t="s">
        <v>204</v>
      </c>
      <c r="H3" s="31">
        <v>1</v>
      </c>
      <c r="I3" s="32" t="s">
        <v>25</v>
      </c>
      <c r="J3" s="33" t="s">
        <v>26</v>
      </c>
      <c r="K3" s="34" t="s">
        <v>27</v>
      </c>
      <c r="L3" s="35" t="s">
        <v>205</v>
      </c>
      <c r="M3" s="36">
        <v>0</v>
      </c>
      <c r="N3" s="37" t="s">
        <v>28</v>
      </c>
      <c r="O3" s="38" t="s">
        <v>29</v>
      </c>
      <c r="P3" s="39" t="s">
        <v>24</v>
      </c>
      <c r="Q3" s="40" t="s">
        <v>33</v>
      </c>
      <c r="R3" s="40" t="s">
        <v>30</v>
      </c>
      <c r="S3" s="41" t="s">
        <v>47</v>
      </c>
      <c r="T3" s="42"/>
      <c r="U3" s="43" t="s">
        <v>26</v>
      </c>
      <c r="V3" s="44" t="s">
        <v>206</v>
      </c>
    </row>
    <row r="4" spans="1:22" s="45" customFormat="1" ht="102.45" customHeight="1">
      <c r="A4" s="26" t="s">
        <v>31</v>
      </c>
      <c r="B4" s="46" t="s">
        <v>207</v>
      </c>
      <c r="C4" s="47">
        <v>2</v>
      </c>
      <c r="D4" s="48" t="s">
        <v>33</v>
      </c>
      <c r="E4" s="49" t="s">
        <v>208</v>
      </c>
      <c r="F4" s="49" t="s">
        <v>209</v>
      </c>
      <c r="G4" s="49" t="s">
        <v>210</v>
      </c>
      <c r="H4" s="50">
        <v>2</v>
      </c>
      <c r="I4" s="51" t="s">
        <v>32</v>
      </c>
      <c r="J4" s="52" t="s">
        <v>33</v>
      </c>
      <c r="K4" s="53" t="s">
        <v>34</v>
      </c>
      <c r="L4" s="54" t="s">
        <v>211</v>
      </c>
      <c r="M4" s="55">
        <v>0.3</v>
      </c>
      <c r="N4" s="56" t="s">
        <v>35</v>
      </c>
      <c r="O4" s="57" t="s">
        <v>23</v>
      </c>
      <c r="P4" s="58" t="s">
        <v>26</v>
      </c>
      <c r="Q4" s="58" t="s">
        <v>26</v>
      </c>
      <c r="R4" s="59" t="s">
        <v>33</v>
      </c>
      <c r="S4" s="60" t="s">
        <v>36</v>
      </c>
      <c r="T4" s="61"/>
      <c r="U4" s="62" t="s">
        <v>33</v>
      </c>
      <c r="V4" s="63" t="s">
        <v>212</v>
      </c>
    </row>
    <row r="5" spans="1:22" s="45" customFormat="1" ht="171.6">
      <c r="A5" s="26" t="s">
        <v>37</v>
      </c>
      <c r="B5" s="46" t="s">
        <v>213</v>
      </c>
      <c r="C5" s="47">
        <v>3</v>
      </c>
      <c r="D5" s="48" t="s">
        <v>30</v>
      </c>
      <c r="E5" s="49" t="s">
        <v>214</v>
      </c>
      <c r="F5" s="49" t="s">
        <v>215</v>
      </c>
      <c r="G5" s="49" t="s">
        <v>216</v>
      </c>
      <c r="H5" s="50">
        <v>4</v>
      </c>
      <c r="I5" s="139" t="s">
        <v>38</v>
      </c>
      <c r="J5" s="140" t="s">
        <v>39</v>
      </c>
      <c r="K5" s="53" t="s">
        <v>40</v>
      </c>
      <c r="L5" s="54" t="s">
        <v>217</v>
      </c>
      <c r="M5" s="55">
        <v>0.6</v>
      </c>
      <c r="N5" s="56" t="s">
        <v>41</v>
      </c>
      <c r="O5" s="57" t="s">
        <v>31</v>
      </c>
      <c r="P5" s="58" t="s">
        <v>26</v>
      </c>
      <c r="Q5" s="59" t="s">
        <v>33</v>
      </c>
      <c r="R5" s="64" t="s">
        <v>36</v>
      </c>
      <c r="S5" s="60" t="s">
        <v>36</v>
      </c>
      <c r="T5" s="61"/>
      <c r="U5" s="65" t="s">
        <v>36</v>
      </c>
      <c r="V5" s="63" t="s">
        <v>218</v>
      </c>
    </row>
    <row r="6" spans="1:22" s="45" customFormat="1" ht="171.6">
      <c r="A6" s="66" t="s">
        <v>185</v>
      </c>
      <c r="B6" s="67" t="s">
        <v>219</v>
      </c>
      <c r="C6" s="47">
        <v>5</v>
      </c>
      <c r="D6" s="48" t="s">
        <v>47</v>
      </c>
      <c r="E6" s="49" t="s">
        <v>220</v>
      </c>
      <c r="F6" s="49" t="s">
        <v>221</v>
      </c>
      <c r="G6" s="49" t="s">
        <v>222</v>
      </c>
      <c r="H6" s="50">
        <v>8</v>
      </c>
      <c r="I6" s="139" t="s">
        <v>42</v>
      </c>
      <c r="J6" s="140" t="s">
        <v>43</v>
      </c>
      <c r="K6" s="53" t="s">
        <v>44</v>
      </c>
      <c r="L6" s="54" t="s">
        <v>223</v>
      </c>
      <c r="M6" s="55">
        <v>0.9</v>
      </c>
      <c r="N6" s="68" t="s">
        <v>45</v>
      </c>
      <c r="O6" s="57" t="s">
        <v>37</v>
      </c>
      <c r="P6" s="59" t="s">
        <v>33</v>
      </c>
      <c r="Q6" s="59" t="s">
        <v>33</v>
      </c>
      <c r="R6" s="64" t="s">
        <v>36</v>
      </c>
      <c r="S6" s="69" t="s">
        <v>43</v>
      </c>
      <c r="T6" s="61"/>
      <c r="U6" s="70" t="s">
        <v>43</v>
      </c>
      <c r="V6" s="63" t="s">
        <v>224</v>
      </c>
    </row>
    <row r="7" spans="1:22" s="45" customFormat="1" ht="109.8" thickBot="1">
      <c r="A7" s="26"/>
      <c r="B7" s="46"/>
      <c r="C7" s="71"/>
      <c r="D7" s="72"/>
      <c r="E7" s="73"/>
      <c r="F7" s="73"/>
      <c r="G7" s="73"/>
      <c r="H7" s="74"/>
      <c r="I7" s="141" t="s">
        <v>46</v>
      </c>
      <c r="J7" s="142" t="s">
        <v>47</v>
      </c>
      <c r="K7" s="75" t="s">
        <v>48</v>
      </c>
      <c r="L7" s="76" t="s">
        <v>49</v>
      </c>
      <c r="M7" s="77">
        <v>1</v>
      </c>
      <c r="N7" s="78" t="s">
        <v>49</v>
      </c>
      <c r="O7" s="79" t="s">
        <v>192</v>
      </c>
      <c r="P7" s="80" t="s">
        <v>33</v>
      </c>
      <c r="Q7" s="81" t="s">
        <v>36</v>
      </c>
      <c r="R7" s="82" t="s">
        <v>43</v>
      </c>
      <c r="S7" s="83" t="s">
        <v>47</v>
      </c>
      <c r="T7" s="84"/>
      <c r="U7" s="85" t="s">
        <v>47</v>
      </c>
      <c r="V7" s="86" t="s">
        <v>225</v>
      </c>
    </row>
    <row r="8" spans="1:22" ht="46.35" customHeight="1">
      <c r="A8" s="87"/>
      <c r="B8" s="88"/>
      <c r="C8" s="89"/>
      <c r="D8" s="87"/>
      <c r="E8" s="87"/>
      <c r="F8" s="87"/>
      <c r="G8" s="87"/>
      <c r="H8" s="90"/>
      <c r="I8" s="143"/>
      <c r="J8" s="144"/>
      <c r="K8" s="144"/>
      <c r="L8" s="45"/>
      <c r="M8" s="90"/>
      <c r="N8" s="91"/>
      <c r="O8" s="25"/>
      <c r="P8" s="88"/>
      <c r="Q8" s="88"/>
      <c r="R8" s="88"/>
      <c r="S8" s="88"/>
      <c r="T8" s="88"/>
    </row>
    <row r="9" spans="1:22" ht="27.6" customHeight="1">
      <c r="A9" s="87"/>
      <c r="B9" s="87"/>
      <c r="C9" s="92"/>
      <c r="D9" s="61"/>
      <c r="E9" s="61"/>
      <c r="F9" s="61"/>
      <c r="G9" s="61"/>
      <c r="H9" s="89"/>
      <c r="I9" s="88"/>
      <c r="J9" s="88"/>
      <c r="K9" s="88"/>
      <c r="L9" s="88"/>
      <c r="M9" s="88"/>
      <c r="N9" s="88"/>
      <c r="O9" s="25"/>
      <c r="P9" s="88"/>
      <c r="Q9" s="88"/>
      <c r="R9" s="88"/>
      <c r="S9" s="88"/>
      <c r="T9" s="88"/>
      <c r="U9" s="93"/>
    </row>
    <row r="10" spans="1:22" ht="87" customHeight="1">
      <c r="A10" s="87"/>
      <c r="B10" s="87"/>
      <c r="C10" s="92"/>
      <c r="D10" s="88"/>
      <c r="E10" s="88"/>
      <c r="F10" s="88"/>
      <c r="G10" s="88"/>
      <c r="H10" s="89"/>
      <c r="I10" s="88"/>
      <c r="J10" s="88"/>
      <c r="K10" s="88"/>
      <c r="L10" s="88"/>
      <c r="M10" s="88"/>
      <c r="N10" s="88"/>
      <c r="O10" s="25"/>
      <c r="P10" s="88"/>
      <c r="Q10" s="88"/>
      <c r="R10" s="88"/>
      <c r="S10" s="88"/>
      <c r="T10" s="88"/>
      <c r="U10" s="88"/>
    </row>
    <row r="11" spans="1:22" ht="28.95" customHeight="1">
      <c r="A11" s="87"/>
      <c r="B11" s="87"/>
      <c r="C11" s="92"/>
      <c r="D11" s="88"/>
      <c r="E11" s="88"/>
      <c r="F11" s="88"/>
      <c r="G11" s="88"/>
      <c r="H11" s="89"/>
      <c r="I11" s="88"/>
      <c r="J11" s="88"/>
      <c r="K11" s="88"/>
      <c r="L11" s="88"/>
      <c r="M11" s="88"/>
      <c r="N11" s="88"/>
      <c r="O11" s="25"/>
      <c r="P11" s="88"/>
      <c r="Q11" s="88"/>
      <c r="R11" s="88"/>
      <c r="S11" s="88"/>
      <c r="T11" s="88"/>
      <c r="U11" s="88"/>
    </row>
    <row r="12" spans="1:22">
      <c r="A12" s="87"/>
      <c r="B12" s="87"/>
      <c r="C12" s="92"/>
      <c r="D12" s="88"/>
      <c r="E12" s="88"/>
      <c r="F12" s="88"/>
      <c r="G12" s="88"/>
      <c r="H12" s="89"/>
      <c r="I12" s="88"/>
      <c r="J12" s="88"/>
      <c r="K12" s="88"/>
      <c r="L12" s="88"/>
      <c r="M12" s="88"/>
      <c r="N12" s="88"/>
      <c r="O12" s="25"/>
      <c r="P12" s="88"/>
      <c r="Q12" s="88"/>
      <c r="R12" s="88"/>
      <c r="S12" s="88"/>
      <c r="T12" s="88"/>
      <c r="U12" s="88"/>
    </row>
    <row r="13" spans="1:22" ht="58.2" customHeight="1">
      <c r="A13" s="87"/>
      <c r="B13" s="87"/>
      <c r="C13" s="92"/>
      <c r="D13" s="88"/>
      <c r="E13" s="88"/>
      <c r="F13" s="88"/>
      <c r="G13" s="88"/>
      <c r="H13" s="89"/>
      <c r="I13" s="88"/>
      <c r="J13" s="88"/>
      <c r="K13" s="88"/>
      <c r="L13" s="88"/>
      <c r="M13" s="88"/>
      <c r="N13" s="88"/>
      <c r="O13" s="25"/>
      <c r="P13" s="88"/>
      <c r="Q13" s="88"/>
      <c r="R13" s="88"/>
      <c r="S13" s="88"/>
      <c r="T13" s="88"/>
      <c r="U13" s="88"/>
    </row>
    <row r="14" spans="1:22" ht="87" customHeight="1">
      <c r="A14" s="87"/>
      <c r="B14" s="87"/>
      <c r="C14" s="92"/>
      <c r="D14" s="88"/>
      <c r="E14" s="88"/>
      <c r="F14" s="88"/>
      <c r="G14" s="88"/>
      <c r="H14" s="89"/>
      <c r="I14" s="88"/>
      <c r="J14" s="88"/>
      <c r="K14" s="88"/>
      <c r="L14" s="88"/>
      <c r="M14" s="88"/>
      <c r="N14" s="88"/>
      <c r="O14" s="25"/>
      <c r="P14" s="88"/>
      <c r="Q14" s="88"/>
      <c r="R14" s="88"/>
      <c r="S14" s="88"/>
      <c r="T14" s="88"/>
      <c r="U14" s="88"/>
    </row>
    <row r="15" spans="1:22" ht="28.95" customHeight="1">
      <c r="A15" s="87"/>
      <c r="B15" s="87"/>
      <c r="C15" s="92"/>
      <c r="D15" s="88"/>
      <c r="E15" s="88"/>
      <c r="F15" s="88"/>
      <c r="G15" s="88"/>
      <c r="H15" s="89"/>
      <c r="I15" s="88"/>
      <c r="J15" s="88"/>
      <c r="K15" s="88"/>
      <c r="L15" s="88"/>
      <c r="M15" s="88"/>
      <c r="N15" s="88"/>
      <c r="O15" s="25"/>
      <c r="P15" s="88"/>
      <c r="Q15" s="88"/>
      <c r="R15" s="88"/>
      <c r="S15" s="88"/>
      <c r="T15" s="88"/>
      <c r="U15" s="88"/>
    </row>
    <row r="16" spans="1:22">
      <c r="A16" s="87"/>
      <c r="B16" s="87"/>
      <c r="C16" s="92"/>
      <c r="D16" s="88"/>
      <c r="E16" s="88"/>
      <c r="F16" s="88"/>
      <c r="G16" s="88"/>
      <c r="H16" s="89"/>
      <c r="I16" s="88"/>
      <c r="J16" s="88"/>
      <c r="K16" s="88"/>
      <c r="L16" s="88"/>
      <c r="M16" s="88"/>
      <c r="N16" s="88"/>
      <c r="O16" s="25"/>
      <c r="P16" s="88"/>
      <c r="Q16" s="88"/>
      <c r="R16" s="88"/>
      <c r="S16" s="88"/>
      <c r="T16" s="88"/>
      <c r="U16" s="88"/>
    </row>
    <row r="17" spans="1:21" ht="43.5" customHeight="1">
      <c r="A17" s="87"/>
      <c r="B17" s="87"/>
      <c r="C17" s="92"/>
      <c r="D17" s="88"/>
      <c r="E17" s="88"/>
      <c r="F17" s="88"/>
      <c r="G17" s="88"/>
      <c r="H17" s="89"/>
      <c r="I17" s="88"/>
      <c r="J17" s="88"/>
      <c r="K17" s="88"/>
      <c r="L17" s="88"/>
      <c r="M17" s="88"/>
      <c r="N17" s="88"/>
      <c r="O17" s="25"/>
      <c r="P17" s="88"/>
      <c r="Q17" s="88"/>
      <c r="R17" s="88"/>
      <c r="S17" s="88"/>
      <c r="T17" s="88"/>
      <c r="U17" s="88"/>
    </row>
    <row r="18" spans="1:21" ht="28.95" customHeight="1">
      <c r="A18" s="87"/>
      <c r="B18" s="87"/>
      <c r="C18" s="92"/>
      <c r="D18" s="88"/>
      <c r="E18" s="88"/>
      <c r="F18" s="88"/>
      <c r="G18" s="88"/>
      <c r="H18" s="89"/>
      <c r="I18" s="88"/>
      <c r="J18" s="88"/>
      <c r="K18" s="88"/>
      <c r="L18" s="88"/>
      <c r="M18" s="88"/>
      <c r="N18" s="88"/>
      <c r="O18" s="25"/>
      <c r="P18" s="88"/>
      <c r="Q18" s="88"/>
      <c r="R18" s="88"/>
      <c r="S18" s="88"/>
      <c r="T18" s="88"/>
      <c r="U18" s="88"/>
    </row>
    <row r="19" spans="1:21" ht="43.95" customHeight="1">
      <c r="A19" s="87"/>
      <c r="B19" s="87"/>
      <c r="C19" s="92"/>
      <c r="D19" s="88"/>
      <c r="E19" s="88"/>
      <c r="F19" s="88"/>
      <c r="G19" s="88"/>
      <c r="H19" s="89"/>
      <c r="I19" s="88"/>
      <c r="J19" s="88"/>
      <c r="K19" s="88"/>
      <c r="L19" s="88"/>
      <c r="M19" s="88"/>
      <c r="N19" s="88"/>
      <c r="O19" s="25"/>
      <c r="P19" s="88"/>
      <c r="Q19" s="88"/>
      <c r="R19" s="88"/>
      <c r="S19" s="88"/>
      <c r="T19" s="88"/>
      <c r="U19" s="88"/>
    </row>
    <row r="20" spans="1:21">
      <c r="A20" s="87"/>
      <c r="B20" s="87"/>
      <c r="C20" s="92"/>
      <c r="D20" s="88"/>
      <c r="E20" s="88"/>
      <c r="F20" s="88"/>
      <c r="G20" s="88"/>
      <c r="H20" s="89"/>
      <c r="I20" s="88"/>
      <c r="J20" s="88"/>
      <c r="K20" s="88"/>
      <c r="L20" s="88"/>
      <c r="M20" s="88"/>
      <c r="N20" s="88"/>
      <c r="O20" s="25"/>
      <c r="P20" s="88"/>
      <c r="Q20" s="88"/>
      <c r="R20" s="88"/>
      <c r="S20" s="88"/>
      <c r="T20" s="88"/>
      <c r="U20" s="88"/>
    </row>
    <row r="21" spans="1:21">
      <c r="A21" s="94"/>
      <c r="B21" s="94"/>
      <c r="C21" s="89"/>
      <c r="D21" s="88"/>
      <c r="E21" s="88"/>
      <c r="F21" s="88"/>
      <c r="G21" s="88"/>
      <c r="H21" s="89"/>
      <c r="I21" s="88"/>
      <c r="J21" s="88"/>
      <c r="K21" s="88"/>
      <c r="L21" s="88"/>
      <c r="M21" s="88"/>
      <c r="N21" s="88"/>
      <c r="O21" s="25"/>
      <c r="P21" s="88"/>
      <c r="Q21" s="88"/>
      <c r="R21" s="88"/>
      <c r="S21" s="88"/>
      <c r="T21" s="88"/>
      <c r="U21" s="88"/>
    </row>
    <row r="22" spans="1:21">
      <c r="A22" s="87"/>
      <c r="B22" s="87"/>
      <c r="C22" s="92"/>
      <c r="D22" s="88"/>
      <c r="E22" s="88"/>
      <c r="F22" s="88"/>
      <c r="G22" s="88"/>
      <c r="H22" s="89"/>
      <c r="I22" s="88"/>
      <c r="J22" s="88"/>
      <c r="K22" s="88"/>
      <c r="L22" s="88"/>
      <c r="M22" s="88"/>
      <c r="N22" s="88"/>
      <c r="O22" s="25"/>
      <c r="P22" s="88"/>
      <c r="Q22" s="88"/>
      <c r="R22" s="88"/>
      <c r="S22" s="88"/>
      <c r="T22" s="88"/>
      <c r="U22" s="88"/>
    </row>
    <row r="23" spans="1:21">
      <c r="A23" s="87"/>
      <c r="B23" s="87"/>
      <c r="C23" s="92"/>
      <c r="D23" s="88"/>
      <c r="E23" s="88"/>
      <c r="F23" s="88"/>
      <c r="G23" s="88"/>
      <c r="H23" s="89"/>
      <c r="I23" s="88"/>
      <c r="J23" s="88"/>
      <c r="K23" s="88"/>
      <c r="L23" s="88"/>
      <c r="M23" s="88"/>
      <c r="N23" s="88"/>
      <c r="O23" s="25"/>
      <c r="P23" s="88"/>
      <c r="Q23" s="88"/>
      <c r="R23" s="88"/>
      <c r="S23" s="88"/>
      <c r="T23" s="88"/>
      <c r="U23" s="88"/>
    </row>
    <row r="24" spans="1:21">
      <c r="A24" s="87"/>
      <c r="B24" s="87"/>
      <c r="C24" s="92"/>
      <c r="D24" s="88"/>
      <c r="E24" s="88"/>
      <c r="F24" s="88"/>
      <c r="G24" s="88"/>
      <c r="H24" s="89"/>
      <c r="I24" s="88"/>
      <c r="J24" s="88"/>
      <c r="K24" s="88"/>
      <c r="L24" s="88"/>
      <c r="M24" s="88"/>
      <c r="N24" s="88"/>
      <c r="O24" s="25"/>
      <c r="P24" s="88"/>
      <c r="Q24" s="88"/>
      <c r="R24" s="88"/>
      <c r="S24" s="88"/>
      <c r="T24" s="88"/>
      <c r="U24" s="88"/>
    </row>
    <row r="25" spans="1:21">
      <c r="A25" s="87"/>
      <c r="B25" s="87"/>
      <c r="C25" s="92"/>
      <c r="D25" s="88"/>
      <c r="E25" s="88"/>
      <c r="F25" s="88"/>
      <c r="G25" s="88"/>
      <c r="H25" s="89"/>
      <c r="I25" s="88"/>
      <c r="J25" s="88"/>
      <c r="K25" s="88"/>
      <c r="L25" s="88"/>
      <c r="M25" s="88"/>
      <c r="N25" s="88"/>
      <c r="O25" s="25"/>
      <c r="P25" s="88"/>
      <c r="Q25" s="88"/>
      <c r="R25" s="88"/>
      <c r="S25" s="88"/>
      <c r="T25" s="88"/>
      <c r="U25" s="88"/>
    </row>
    <row r="26" spans="1:21">
      <c r="A26" s="87"/>
      <c r="B26" s="87"/>
      <c r="C26" s="92"/>
      <c r="D26" s="88"/>
      <c r="E26" s="88"/>
      <c r="F26" s="88"/>
      <c r="G26" s="88"/>
      <c r="H26" s="89"/>
      <c r="I26" s="88"/>
      <c r="J26" s="88"/>
      <c r="K26" s="88"/>
      <c r="L26" s="88"/>
      <c r="M26" s="88"/>
      <c r="N26" s="88"/>
      <c r="O26" s="25"/>
      <c r="P26" s="88"/>
      <c r="Q26" s="88"/>
      <c r="R26" s="88"/>
      <c r="S26" s="88"/>
      <c r="T26" s="88"/>
      <c r="U26" s="88"/>
    </row>
    <row r="27" spans="1:21">
      <c r="A27" s="87"/>
      <c r="B27" s="87"/>
      <c r="C27" s="92"/>
      <c r="D27" s="88"/>
      <c r="E27" s="88"/>
      <c r="F27" s="88"/>
      <c r="G27" s="88"/>
      <c r="H27" s="89"/>
      <c r="I27" s="88"/>
      <c r="J27" s="88"/>
      <c r="K27" s="88"/>
      <c r="L27" s="88"/>
      <c r="M27" s="88"/>
      <c r="N27" s="88"/>
      <c r="O27" s="25"/>
      <c r="P27" s="88"/>
      <c r="Q27" s="88"/>
      <c r="R27" s="88"/>
      <c r="S27" s="88"/>
      <c r="T27" s="88"/>
      <c r="U27" s="88"/>
    </row>
    <row r="28" spans="1:21">
      <c r="A28" s="87"/>
      <c r="B28" s="87"/>
      <c r="C28" s="92"/>
      <c r="D28" s="88"/>
      <c r="E28" s="88"/>
      <c r="F28" s="88"/>
      <c r="G28" s="88"/>
      <c r="H28" s="89"/>
      <c r="I28" s="88"/>
      <c r="J28" s="88"/>
      <c r="K28" s="88"/>
      <c r="L28" s="88"/>
      <c r="M28" s="88"/>
      <c r="N28" s="88"/>
      <c r="O28" s="25"/>
      <c r="P28" s="88"/>
      <c r="Q28" s="88"/>
      <c r="R28" s="88"/>
      <c r="S28" s="88"/>
      <c r="T28" s="88"/>
      <c r="U28" s="88"/>
    </row>
    <row r="29" spans="1:21">
      <c r="A29" s="87"/>
      <c r="B29" s="87"/>
      <c r="C29" s="92"/>
      <c r="D29" s="88"/>
      <c r="E29" s="88"/>
      <c r="F29" s="88"/>
      <c r="G29" s="88"/>
      <c r="H29" s="89"/>
      <c r="I29" s="88"/>
      <c r="J29" s="88"/>
      <c r="K29" s="88"/>
      <c r="L29" s="88"/>
      <c r="M29" s="88"/>
      <c r="N29" s="88"/>
      <c r="O29" s="25"/>
      <c r="P29" s="88"/>
      <c r="Q29" s="88"/>
      <c r="R29" s="88"/>
      <c r="S29" s="88"/>
      <c r="T29" s="88"/>
      <c r="U29" s="88"/>
    </row>
    <row r="30" spans="1:21">
      <c r="A30" s="95"/>
      <c r="B30" s="95"/>
      <c r="C30" s="96"/>
      <c r="D30" s="88"/>
      <c r="E30" s="88"/>
      <c r="F30" s="88"/>
      <c r="G30" s="88"/>
      <c r="H30" s="89"/>
      <c r="I30" s="88"/>
      <c r="J30" s="88"/>
      <c r="K30" s="88"/>
      <c r="L30" s="88"/>
      <c r="M30" s="88"/>
      <c r="N30" s="88"/>
      <c r="O30" s="25"/>
      <c r="P30" s="88"/>
      <c r="Q30" s="88"/>
      <c r="R30" s="88"/>
      <c r="S30" s="88"/>
      <c r="T30" s="88"/>
      <c r="U30" s="88"/>
    </row>
    <row r="31" spans="1:21">
      <c r="A31" s="88"/>
      <c r="B31" s="88"/>
      <c r="C31" s="89"/>
      <c r="D31" s="88"/>
      <c r="E31" s="88"/>
      <c r="F31" s="88"/>
      <c r="G31" s="88"/>
      <c r="H31" s="89"/>
      <c r="I31" s="88"/>
      <c r="J31" s="88"/>
      <c r="K31" s="88"/>
      <c r="L31" s="88"/>
      <c r="M31" s="88"/>
      <c r="N31" s="88"/>
      <c r="O31" s="25"/>
      <c r="P31" s="88"/>
      <c r="Q31" s="88"/>
      <c r="R31" s="88"/>
      <c r="S31" s="88"/>
      <c r="T31" s="88"/>
      <c r="U31" s="88"/>
    </row>
    <row r="32" spans="1:21">
      <c r="A32" s="88"/>
      <c r="B32" s="88"/>
      <c r="C32" s="89"/>
      <c r="D32" s="88"/>
      <c r="E32" s="88"/>
      <c r="F32" s="88"/>
      <c r="G32" s="88"/>
      <c r="H32" s="89"/>
      <c r="I32" s="88"/>
      <c r="J32" s="88"/>
      <c r="K32" s="88"/>
      <c r="L32" s="88"/>
      <c r="M32" s="88"/>
      <c r="N32" s="88"/>
      <c r="O32" s="25"/>
      <c r="P32" s="88"/>
      <c r="Q32" s="88"/>
      <c r="R32" s="88"/>
      <c r="S32" s="88"/>
      <c r="T32" s="88"/>
      <c r="U32" s="88"/>
    </row>
  </sheetData>
  <mergeCells count="5">
    <mergeCell ref="A2:C2"/>
    <mergeCell ref="D2:H2"/>
    <mergeCell ref="I2:J2"/>
    <mergeCell ref="L2:M2"/>
    <mergeCell ref="O2:S2"/>
  </mergeCells>
  <pageMargins left="0.32" right="0.22" top="0.46" bottom="0.38" header="0.3" footer="0.3"/>
  <pageSetup scale="26" fitToHeight="0" orientation="landscape" horizontalDpi="4294967293" verticalDpi="4294967293" r:id="rId1"/>
  <headerFooter>
    <oddFooter>&amp;C_x000D_&amp;1#&amp;"Calibri"&amp;8&amp;K000000 PMI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83DDD-DD80-4805-ADC8-D045F71AB46B}">
  <sheetPr>
    <pageSetUpPr fitToPage="1"/>
  </sheetPr>
  <dimension ref="A1:BV122"/>
  <sheetViews>
    <sheetView showGridLines="0" tabSelected="1" view="pageBreakPreview" topLeftCell="A4" zoomScale="40" zoomScaleNormal="40" zoomScaleSheetLayoutView="40" workbookViewId="0">
      <selection activeCell="C10" sqref="C10:D10"/>
    </sheetView>
  </sheetViews>
  <sheetFormatPr defaultColWidth="9.109375" defaultRowHeight="14.4"/>
  <cols>
    <col min="1" max="1" width="8.109375" style="1" customWidth="1"/>
    <col min="2" max="2" width="84.44140625" style="1" customWidth="1"/>
    <col min="3" max="3" width="63.44140625" style="1" customWidth="1"/>
    <col min="4" max="4" width="51.77734375" style="1" customWidth="1"/>
    <col min="5" max="5" width="83.33203125" style="1" customWidth="1"/>
    <col min="6" max="6" width="66.44140625" style="1" customWidth="1"/>
    <col min="7" max="7" width="66.88671875" style="129" customWidth="1"/>
    <col min="8" max="8" width="43" style="129" customWidth="1"/>
    <col min="9" max="9" width="31.109375" style="129" customWidth="1"/>
    <col min="10" max="10" width="34.6640625" style="129" customWidth="1"/>
    <col min="11" max="11" width="25.88671875" style="1" customWidth="1"/>
    <col min="12" max="12" width="62.5546875" style="1" customWidth="1"/>
    <col min="13" max="13" width="41.33203125" style="1" customWidth="1"/>
    <col min="14" max="14" width="23.44140625" style="1" customWidth="1"/>
    <col min="15" max="15" width="19.44140625" style="1" customWidth="1"/>
    <col min="16" max="22" width="9.109375" style="1" customWidth="1"/>
    <col min="23" max="47" width="9.109375" style="1" hidden="1" customWidth="1"/>
    <col min="48" max="52" width="0" style="1" hidden="1" customWidth="1"/>
    <col min="53" max="53" width="9.109375" style="1" hidden="1" customWidth="1"/>
    <col min="54" max="75" width="0" style="1" hidden="1" customWidth="1"/>
    <col min="76" max="16384" width="9.109375" style="1"/>
  </cols>
  <sheetData>
    <row r="1" spans="1:74" ht="15" thickBot="1"/>
    <row r="2" spans="1:74" s="2" customFormat="1" ht="36.9" customHeight="1" thickBot="1">
      <c r="A2" s="268"/>
      <c r="B2" s="251" t="s">
        <v>0</v>
      </c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172" t="s">
        <v>1</v>
      </c>
    </row>
    <row r="3" spans="1:74" s="2" customFormat="1" ht="36.9" customHeight="1" thickBot="1">
      <c r="A3" s="269"/>
      <c r="B3" s="252" t="s">
        <v>234</v>
      </c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173">
        <v>1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100" t="s">
        <v>51</v>
      </c>
      <c r="AH3" s="101" t="s">
        <v>52</v>
      </c>
      <c r="AI3" s="101" t="s">
        <v>53</v>
      </c>
      <c r="AJ3" s="101" t="s">
        <v>54</v>
      </c>
      <c r="AK3" s="101" t="s">
        <v>55</v>
      </c>
      <c r="AL3" s="101" t="s">
        <v>56</v>
      </c>
      <c r="AM3" s="101" t="s">
        <v>57</v>
      </c>
      <c r="AN3" s="101" t="s">
        <v>58</v>
      </c>
      <c r="AO3" s="101" t="s">
        <v>59</v>
      </c>
      <c r="AP3" s="101" t="s">
        <v>60</v>
      </c>
      <c r="AQ3" s="101" t="s">
        <v>61</v>
      </c>
      <c r="AR3" s="102" t="s">
        <v>62</v>
      </c>
      <c r="AV3" s="98"/>
      <c r="AW3" s="98"/>
      <c r="AX3" s="98"/>
      <c r="AY3" s="116" t="s">
        <v>183</v>
      </c>
      <c r="AZ3" s="116" t="s">
        <v>184</v>
      </c>
      <c r="BA3" s="98"/>
      <c r="BD3" s="98"/>
      <c r="BE3" s="116" t="s">
        <v>186</v>
      </c>
      <c r="BF3" s="98"/>
      <c r="BG3" s="98"/>
      <c r="BR3" s="101" t="s">
        <v>29</v>
      </c>
      <c r="BS3" s="101" t="s">
        <v>14</v>
      </c>
      <c r="BT3" s="101" t="s">
        <v>15</v>
      </c>
      <c r="BU3" s="101" t="s">
        <v>12</v>
      </c>
      <c r="BV3" s="101" t="s">
        <v>13</v>
      </c>
    </row>
    <row r="4" spans="1:74" s="2" customFormat="1" ht="36.9" customHeight="1" thickBot="1">
      <c r="A4" s="270"/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5"/>
      <c r="N4" s="255"/>
      <c r="O4" s="174">
        <v>1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100" t="s">
        <v>63</v>
      </c>
      <c r="AH4" s="106" t="s">
        <v>64</v>
      </c>
      <c r="AI4" s="106" t="s">
        <v>65</v>
      </c>
      <c r="AJ4" s="106" t="s">
        <v>66</v>
      </c>
      <c r="AK4" s="106" t="s">
        <v>67</v>
      </c>
      <c r="AL4" s="106" t="s">
        <v>68</v>
      </c>
      <c r="AM4" s="106" t="s">
        <v>69</v>
      </c>
      <c r="AN4" s="106" t="s">
        <v>70</v>
      </c>
      <c r="AO4" s="106" t="s">
        <v>71</v>
      </c>
      <c r="AP4" s="106" t="s">
        <v>72</v>
      </c>
      <c r="AQ4" s="106" t="s">
        <v>73</v>
      </c>
      <c r="AR4" s="107" t="s">
        <v>74</v>
      </c>
      <c r="AV4" s="98" t="s">
        <v>14</v>
      </c>
      <c r="AW4" s="98">
        <v>1</v>
      </c>
      <c r="AX4" s="106" t="s">
        <v>51</v>
      </c>
      <c r="AY4" s="106">
        <v>0</v>
      </c>
      <c r="AZ4" s="117" t="s">
        <v>26</v>
      </c>
      <c r="BA4" s="106">
        <v>2</v>
      </c>
      <c r="BD4" s="106" t="s">
        <v>187</v>
      </c>
      <c r="BE4" s="117" t="s">
        <v>26</v>
      </c>
      <c r="BF4" s="98">
        <v>3</v>
      </c>
      <c r="BG4" s="117" t="s">
        <v>26</v>
      </c>
      <c r="BR4" s="120">
        <v>4</v>
      </c>
      <c r="BS4" s="121" t="s">
        <v>33</v>
      </c>
      <c r="BT4" s="122" t="s">
        <v>36</v>
      </c>
      <c r="BU4" s="123" t="s">
        <v>43</v>
      </c>
      <c r="BV4" s="124" t="s">
        <v>47</v>
      </c>
    </row>
    <row r="5" spans="1:74" s="4" customFormat="1" ht="23.1" customHeight="1">
      <c r="A5" s="271" t="s">
        <v>2</v>
      </c>
      <c r="B5" s="272"/>
      <c r="C5" s="241" t="s">
        <v>199</v>
      </c>
      <c r="D5" s="242"/>
      <c r="E5" s="148"/>
      <c r="F5" s="235" t="s">
        <v>3</v>
      </c>
      <c r="G5" s="236"/>
      <c r="H5" s="236"/>
      <c r="I5" s="236"/>
      <c r="J5" s="237"/>
      <c r="K5" s="227" t="s">
        <v>226</v>
      </c>
      <c r="L5" s="228"/>
      <c r="M5" s="275"/>
      <c r="N5" s="275"/>
      <c r="O5" s="276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0" t="s">
        <v>76</v>
      </c>
      <c r="AH5" s="106" t="s">
        <v>77</v>
      </c>
      <c r="AI5" s="106" t="s">
        <v>78</v>
      </c>
      <c r="AJ5" s="106" t="s">
        <v>79</v>
      </c>
      <c r="AK5" s="106" t="s">
        <v>80</v>
      </c>
      <c r="AL5" s="106" t="s">
        <v>81</v>
      </c>
      <c r="AM5" s="106" t="s">
        <v>82</v>
      </c>
      <c r="AN5" s="101" t="s">
        <v>83</v>
      </c>
      <c r="AO5" s="101" t="s">
        <v>84</v>
      </c>
      <c r="AP5" s="101" t="s">
        <v>85</v>
      </c>
      <c r="AQ5" s="101" t="s">
        <v>86</v>
      </c>
      <c r="AR5" s="101" t="s">
        <v>87</v>
      </c>
      <c r="AV5" s="98" t="s">
        <v>15</v>
      </c>
      <c r="AW5" s="98">
        <v>2</v>
      </c>
      <c r="AX5" s="106" t="s">
        <v>63</v>
      </c>
      <c r="AY5" s="106">
        <v>0.3</v>
      </c>
      <c r="AZ5" s="117" t="s">
        <v>33</v>
      </c>
      <c r="BA5" s="106">
        <v>4</v>
      </c>
      <c r="BD5" s="118" t="s">
        <v>188</v>
      </c>
      <c r="BE5" s="117" t="s">
        <v>33</v>
      </c>
      <c r="BF5" s="119">
        <v>4</v>
      </c>
      <c r="BG5" s="117" t="s">
        <v>33</v>
      </c>
      <c r="BR5" s="120">
        <v>3</v>
      </c>
      <c r="BS5" s="121" t="s">
        <v>33</v>
      </c>
      <c r="BT5" s="121" t="s">
        <v>33</v>
      </c>
      <c r="BU5" s="122" t="s">
        <v>36</v>
      </c>
      <c r="BV5" s="123" t="s">
        <v>43</v>
      </c>
    </row>
    <row r="6" spans="1:74" s="4" customFormat="1" ht="23.1" customHeight="1" thickBot="1">
      <c r="A6" s="273"/>
      <c r="B6" s="274"/>
      <c r="C6" s="243"/>
      <c r="D6" s="244"/>
      <c r="E6" s="148"/>
      <c r="F6" s="238" t="s">
        <v>4</v>
      </c>
      <c r="G6" s="239"/>
      <c r="H6" s="239"/>
      <c r="I6" s="239"/>
      <c r="J6" s="240"/>
      <c r="K6" s="233" t="s">
        <v>227</v>
      </c>
      <c r="L6" s="234"/>
      <c r="M6" s="218"/>
      <c r="N6" s="218"/>
      <c r="O6" s="219"/>
      <c r="P6" s="111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0" t="s">
        <v>89</v>
      </c>
      <c r="AH6" s="106" t="s">
        <v>90</v>
      </c>
      <c r="AI6" s="106" t="s">
        <v>91</v>
      </c>
      <c r="AJ6" s="106" t="s">
        <v>92</v>
      </c>
      <c r="AK6" s="106" t="s">
        <v>93</v>
      </c>
      <c r="AL6" s="106" t="s">
        <v>94</v>
      </c>
      <c r="AM6" s="106" t="s">
        <v>95</v>
      </c>
      <c r="AN6" s="101" t="s">
        <v>96</v>
      </c>
      <c r="AO6" s="101" t="s">
        <v>97</v>
      </c>
      <c r="AP6" s="101" t="s">
        <v>98</v>
      </c>
      <c r="AQ6" s="101" t="s">
        <v>99</v>
      </c>
      <c r="AR6" s="102" t="s">
        <v>100</v>
      </c>
      <c r="AV6" s="98" t="s">
        <v>12</v>
      </c>
      <c r="AW6" s="98">
        <v>3</v>
      </c>
      <c r="AX6" s="106" t="s">
        <v>76</v>
      </c>
      <c r="AY6" s="106">
        <v>0.6</v>
      </c>
      <c r="AZ6" s="117" t="s">
        <v>36</v>
      </c>
      <c r="BA6" s="106">
        <v>6</v>
      </c>
      <c r="BD6" s="118" t="s">
        <v>189</v>
      </c>
      <c r="BE6" s="117" t="s">
        <v>36</v>
      </c>
      <c r="BF6" s="119">
        <v>6</v>
      </c>
      <c r="BG6" s="117" t="s">
        <v>36</v>
      </c>
      <c r="BR6" s="120">
        <v>2</v>
      </c>
      <c r="BS6" s="125" t="s">
        <v>26</v>
      </c>
      <c r="BT6" s="121" t="s">
        <v>33</v>
      </c>
      <c r="BU6" s="122" t="s">
        <v>36</v>
      </c>
      <c r="BV6" s="122" t="s">
        <v>36</v>
      </c>
    </row>
    <row r="7" spans="1:74" s="4" customFormat="1" ht="30" customHeight="1" thickBot="1">
      <c r="A7" s="266" t="s">
        <v>5</v>
      </c>
      <c r="B7" s="267"/>
      <c r="C7" s="231" t="s">
        <v>378</v>
      </c>
      <c r="D7" s="232"/>
      <c r="E7" s="148"/>
      <c r="F7" s="206" t="s">
        <v>231</v>
      </c>
      <c r="G7" s="207"/>
      <c r="H7" s="206" t="s">
        <v>232</v>
      </c>
      <c r="I7" s="210"/>
      <c r="J7" s="211"/>
      <c r="K7" s="206" t="s">
        <v>233</v>
      </c>
      <c r="L7" s="207"/>
      <c r="M7" s="206" t="s">
        <v>353</v>
      </c>
      <c r="N7" s="220"/>
      <c r="O7" s="207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0" t="s">
        <v>102</v>
      </c>
      <c r="AH7" s="106" t="s">
        <v>103</v>
      </c>
      <c r="AI7" s="106" t="s">
        <v>104</v>
      </c>
      <c r="AJ7" s="106" t="s">
        <v>105</v>
      </c>
      <c r="AK7" s="106" t="s">
        <v>106</v>
      </c>
      <c r="AL7" s="106" t="s">
        <v>107</v>
      </c>
      <c r="AM7" s="106" t="s">
        <v>108</v>
      </c>
      <c r="AN7" s="101" t="s">
        <v>109</v>
      </c>
      <c r="AO7" s="101" t="s">
        <v>110</v>
      </c>
      <c r="AP7" s="101" t="s">
        <v>111</v>
      </c>
      <c r="AQ7" s="101" t="s">
        <v>112</v>
      </c>
      <c r="AR7" s="102" t="s">
        <v>113</v>
      </c>
      <c r="AV7" s="98" t="s">
        <v>13</v>
      </c>
      <c r="AW7" s="98">
        <v>4</v>
      </c>
      <c r="AX7" s="106" t="s">
        <v>89</v>
      </c>
      <c r="AY7" s="106">
        <v>0.9</v>
      </c>
      <c r="AZ7" s="117" t="s">
        <v>43</v>
      </c>
      <c r="BA7" s="106">
        <v>8</v>
      </c>
      <c r="BD7" s="118" t="s">
        <v>190</v>
      </c>
      <c r="BE7" s="117" t="s">
        <v>43</v>
      </c>
      <c r="BF7" s="119">
        <v>8</v>
      </c>
      <c r="BG7" s="117" t="s">
        <v>43</v>
      </c>
      <c r="BR7" s="120">
        <v>1</v>
      </c>
      <c r="BS7" s="125" t="s">
        <v>26</v>
      </c>
      <c r="BT7" s="125" t="s">
        <v>26</v>
      </c>
      <c r="BU7" s="121" t="s">
        <v>33</v>
      </c>
      <c r="BV7" s="122" t="s">
        <v>36</v>
      </c>
    </row>
    <row r="8" spans="1:74" s="4" customFormat="1" ht="54.75" customHeight="1" thickBot="1">
      <c r="A8" s="266" t="s">
        <v>235</v>
      </c>
      <c r="B8" s="267"/>
      <c r="C8" s="231" t="s">
        <v>503</v>
      </c>
      <c r="D8" s="232"/>
      <c r="E8" s="148"/>
      <c r="F8" s="208"/>
      <c r="G8" s="209"/>
      <c r="H8" s="212"/>
      <c r="I8" s="213"/>
      <c r="J8" s="214"/>
      <c r="K8" s="208"/>
      <c r="L8" s="209"/>
      <c r="M8" s="208"/>
      <c r="N8" s="221"/>
      <c r="O8" s="209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0"/>
      <c r="AH8" s="106" t="s">
        <v>115</v>
      </c>
      <c r="AI8" s="106" t="s">
        <v>116</v>
      </c>
      <c r="AJ8" s="106"/>
      <c r="AK8" s="106" t="s">
        <v>94</v>
      </c>
      <c r="AL8" s="106" t="s">
        <v>117</v>
      </c>
      <c r="AM8" s="106"/>
      <c r="AN8" s="101" t="s">
        <v>118</v>
      </c>
      <c r="AO8" s="101" t="s">
        <v>119</v>
      </c>
      <c r="AP8" s="101" t="s">
        <v>120</v>
      </c>
      <c r="AQ8" s="101" t="s">
        <v>121</v>
      </c>
      <c r="AR8" s="101" t="s">
        <v>122</v>
      </c>
      <c r="AV8" s="98"/>
      <c r="AW8" s="98"/>
      <c r="AX8" s="106" t="s">
        <v>102</v>
      </c>
      <c r="AY8" s="106">
        <v>1</v>
      </c>
      <c r="AZ8" s="117" t="s">
        <v>47</v>
      </c>
      <c r="BA8" s="106">
        <v>10</v>
      </c>
      <c r="BD8" s="118" t="s">
        <v>191</v>
      </c>
      <c r="BE8" s="117" t="s">
        <v>47</v>
      </c>
      <c r="BF8" s="119">
        <v>10</v>
      </c>
      <c r="BG8" s="117" t="s">
        <v>47</v>
      </c>
    </row>
    <row r="9" spans="1:74" s="4" customFormat="1" ht="43.5" customHeight="1" thickBot="1">
      <c r="A9" s="262" t="s">
        <v>6</v>
      </c>
      <c r="B9" s="263"/>
      <c r="C9" s="245" t="str">
        <f ca="1">": "&amp;TEXT(F11,"dd mmm yyyy")</f>
        <v>: 22 Apr 2026</v>
      </c>
      <c r="D9" s="246"/>
      <c r="E9" s="126" t="s">
        <v>7</v>
      </c>
      <c r="F9" s="204" t="s">
        <v>504</v>
      </c>
      <c r="G9" s="3"/>
      <c r="H9" s="201" t="s">
        <v>379</v>
      </c>
      <c r="I9" s="15"/>
      <c r="J9" s="15"/>
      <c r="K9" s="215"/>
      <c r="L9" s="217"/>
      <c r="M9" s="222"/>
      <c r="N9" s="223"/>
      <c r="O9" s="224"/>
      <c r="P9" s="108"/>
      <c r="Q9" s="108"/>
      <c r="R9" s="108"/>
      <c r="S9" s="108"/>
      <c r="T9" s="108"/>
      <c r="U9" s="111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98"/>
      <c r="AH9" s="106" t="s">
        <v>126</v>
      </c>
      <c r="AI9" s="106" t="s">
        <v>127</v>
      </c>
      <c r="AJ9" s="106"/>
      <c r="AK9" s="106" t="s">
        <v>128</v>
      </c>
      <c r="AL9" s="106" t="s">
        <v>129</v>
      </c>
      <c r="AM9" s="106"/>
      <c r="AN9" s="101" t="s">
        <v>130</v>
      </c>
      <c r="AO9" s="101" t="s">
        <v>131</v>
      </c>
      <c r="AP9" s="101" t="s">
        <v>132</v>
      </c>
      <c r="AQ9" s="101" t="s">
        <v>133</v>
      </c>
      <c r="AR9" s="101" t="s">
        <v>134</v>
      </c>
    </row>
    <row r="10" spans="1:74" s="4" customFormat="1" ht="70.349999999999994" customHeight="1" thickBot="1">
      <c r="A10" s="264" t="s">
        <v>8</v>
      </c>
      <c r="B10" s="265"/>
      <c r="C10" s="247" t="s">
        <v>500</v>
      </c>
      <c r="D10" s="248"/>
      <c r="E10" s="6" t="s">
        <v>200</v>
      </c>
      <c r="F10" s="14"/>
      <c r="G10" s="13"/>
      <c r="H10" s="215"/>
      <c r="I10" s="216"/>
      <c r="J10" s="217"/>
      <c r="K10" s="14"/>
      <c r="L10" s="130"/>
      <c r="M10" s="222"/>
      <c r="N10" s="223"/>
      <c r="O10" s="224"/>
      <c r="P10" s="108"/>
      <c r="Q10" s="108"/>
      <c r="R10" s="108"/>
      <c r="S10" s="108"/>
      <c r="T10" s="108"/>
      <c r="U10" s="111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98"/>
      <c r="AH10" s="106" t="s">
        <v>136</v>
      </c>
      <c r="AI10" s="106" t="s">
        <v>137</v>
      </c>
      <c r="AJ10" s="106"/>
      <c r="AK10" s="106" t="s">
        <v>138</v>
      </c>
      <c r="AL10" s="106" t="s">
        <v>105</v>
      </c>
      <c r="AM10" s="106"/>
      <c r="AN10" s="101" t="s">
        <v>139</v>
      </c>
      <c r="AO10" s="101" t="s">
        <v>140</v>
      </c>
      <c r="AP10" s="101" t="s">
        <v>141</v>
      </c>
      <c r="AQ10" s="101" t="s">
        <v>142</v>
      </c>
      <c r="AR10" s="101"/>
    </row>
    <row r="11" spans="1:74" s="4" customFormat="1" ht="39" customHeight="1" thickBot="1">
      <c r="A11" s="262" t="s">
        <v>9</v>
      </c>
      <c r="B11" s="263"/>
      <c r="C11" s="231" t="s">
        <v>501</v>
      </c>
      <c r="D11" s="232"/>
      <c r="E11" s="6" t="s">
        <v>10</v>
      </c>
      <c r="F11" s="203">
        <f ca="1">TODAY()</f>
        <v>46134</v>
      </c>
      <c r="G11" s="5"/>
      <c r="H11" s="203">
        <f ca="1">F11</f>
        <v>46134</v>
      </c>
      <c r="I11" s="16"/>
      <c r="J11" s="16"/>
      <c r="K11" s="225">
        <f ca="1">H11</f>
        <v>46134</v>
      </c>
      <c r="L11" s="226"/>
      <c r="M11" s="147"/>
      <c r="N11" s="147"/>
      <c r="O11" s="171"/>
      <c r="P11" s="108"/>
      <c r="Q11" s="108"/>
      <c r="R11" s="108"/>
      <c r="S11" s="108"/>
      <c r="T11" s="108"/>
      <c r="U11" s="111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98"/>
      <c r="AH11" s="106"/>
      <c r="AI11" s="106"/>
      <c r="AJ11" s="106"/>
      <c r="AK11" s="106"/>
      <c r="AL11" s="106"/>
      <c r="AM11" s="106"/>
      <c r="AN11" s="101"/>
      <c r="AO11" s="101"/>
      <c r="AP11" s="101"/>
      <c r="AQ11" s="101"/>
      <c r="AR11" s="101"/>
    </row>
    <row r="12" spans="1:74" s="4" customFormat="1" ht="357.9" customHeight="1" thickBot="1">
      <c r="A12" s="14"/>
      <c r="B12" s="130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45"/>
      <c r="N12" s="145"/>
      <c r="O12" s="146"/>
      <c r="P12" s="108"/>
      <c r="Q12" s="108"/>
      <c r="R12" s="108"/>
      <c r="S12" s="108"/>
      <c r="T12" s="108"/>
      <c r="U12" s="111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98"/>
      <c r="AH12" s="106"/>
      <c r="AI12" s="106"/>
      <c r="AJ12" s="106"/>
      <c r="AK12" s="106"/>
      <c r="AL12" s="106"/>
      <c r="AM12" s="106"/>
      <c r="AN12" s="101"/>
      <c r="AO12" s="101"/>
      <c r="AP12" s="101"/>
      <c r="AQ12" s="101"/>
      <c r="AR12" s="101"/>
    </row>
    <row r="13" spans="1:74" s="108" customFormat="1" ht="33.6" customHeight="1" thickBot="1">
      <c r="A13" s="229" t="s">
        <v>150</v>
      </c>
      <c r="B13" s="229" t="s">
        <v>193</v>
      </c>
      <c r="C13" s="256" t="s">
        <v>50</v>
      </c>
      <c r="D13" s="257"/>
      <c r="E13" s="257"/>
      <c r="F13" s="257"/>
      <c r="G13" s="257"/>
      <c r="H13" s="257"/>
      <c r="I13" s="257"/>
      <c r="J13" s="257"/>
      <c r="K13" s="258"/>
      <c r="L13" s="259" t="s">
        <v>151</v>
      </c>
      <c r="M13" s="260"/>
      <c r="N13" s="260"/>
      <c r="O13" s="261"/>
      <c r="AG13" s="98"/>
      <c r="AH13" s="106" t="s">
        <v>144</v>
      </c>
      <c r="AI13" s="106" t="s">
        <v>145</v>
      </c>
      <c r="AJ13" s="106"/>
      <c r="AK13" s="106" t="s">
        <v>129</v>
      </c>
      <c r="AL13" s="106"/>
      <c r="AM13" s="106"/>
      <c r="AN13" s="101" t="s">
        <v>146</v>
      </c>
      <c r="AO13" s="101" t="s">
        <v>147</v>
      </c>
      <c r="AP13" s="101" t="s">
        <v>148</v>
      </c>
      <c r="AQ13" s="101" t="s">
        <v>149</v>
      </c>
      <c r="AR13" s="101"/>
      <c r="AS13" s="8"/>
      <c r="AT13" s="8"/>
      <c r="AU13" s="8"/>
      <c r="AV13" s="8"/>
      <c r="AW13" s="8"/>
      <c r="AX13" s="8"/>
      <c r="AY13" s="8"/>
      <c r="AZ13" s="8"/>
      <c r="BA13" s="8"/>
      <c r="BH13" s="113" t="s">
        <v>160</v>
      </c>
      <c r="BJ13" s="110"/>
      <c r="BK13" s="109" t="s">
        <v>161</v>
      </c>
      <c r="BL13" s="110"/>
      <c r="BM13" s="109" t="s">
        <v>124</v>
      </c>
      <c r="BN13" s="109" t="s">
        <v>143</v>
      </c>
      <c r="BO13" s="110"/>
      <c r="BP13" s="114"/>
    </row>
    <row r="14" spans="1:74" s="99" customFormat="1" ht="105.9" customHeight="1" thickBot="1">
      <c r="A14" s="230"/>
      <c r="B14" s="230"/>
      <c r="C14" s="179" t="s">
        <v>229</v>
      </c>
      <c r="D14" s="180" t="s">
        <v>228</v>
      </c>
      <c r="E14" s="179" t="s">
        <v>330</v>
      </c>
      <c r="F14" s="179" t="s">
        <v>194</v>
      </c>
      <c r="G14" s="179" t="s">
        <v>230</v>
      </c>
      <c r="H14" s="179" t="s">
        <v>196</v>
      </c>
      <c r="I14" s="179" t="s">
        <v>195</v>
      </c>
      <c r="J14" s="179" t="s">
        <v>198</v>
      </c>
      <c r="K14" s="179" t="s">
        <v>332</v>
      </c>
      <c r="L14" s="181" t="s">
        <v>331</v>
      </c>
      <c r="M14" s="181" t="s">
        <v>196</v>
      </c>
      <c r="N14" s="181" t="s">
        <v>236</v>
      </c>
      <c r="O14" s="181" t="s">
        <v>197</v>
      </c>
      <c r="P14" s="133" t="s">
        <v>162</v>
      </c>
      <c r="Q14" s="133" t="s">
        <v>75</v>
      </c>
      <c r="R14" s="133" t="s">
        <v>88</v>
      </c>
      <c r="S14" s="133" t="s">
        <v>101</v>
      </c>
      <c r="T14" s="133" t="s">
        <v>114</v>
      </c>
      <c r="U14" s="133" t="s">
        <v>125</v>
      </c>
      <c r="V14" s="133" t="s">
        <v>135</v>
      </c>
      <c r="W14" s="133" t="s">
        <v>163</v>
      </c>
      <c r="X14" s="133" t="s">
        <v>164</v>
      </c>
      <c r="Y14" s="133" t="s">
        <v>165</v>
      </c>
      <c r="Z14" s="133" t="s">
        <v>166</v>
      </c>
      <c r="AA14" s="133" t="s">
        <v>158</v>
      </c>
      <c r="AB14" s="133" t="s">
        <v>159</v>
      </c>
      <c r="AC14" s="133"/>
      <c r="AD14" s="133"/>
      <c r="AF14" s="115"/>
      <c r="AG14" s="98"/>
      <c r="AH14" s="106"/>
      <c r="AI14" s="106"/>
      <c r="AJ14" s="106"/>
      <c r="AK14" s="106"/>
      <c r="AL14" s="106"/>
      <c r="AM14" s="106"/>
      <c r="AN14" s="101"/>
      <c r="AO14" s="101"/>
      <c r="AP14" s="101"/>
      <c r="AQ14" s="101"/>
      <c r="AR14" s="101"/>
      <c r="AS14" s="8"/>
      <c r="AT14" s="8"/>
      <c r="AU14" s="8"/>
      <c r="AV14" s="8"/>
      <c r="AW14" s="8"/>
      <c r="AX14" s="8"/>
      <c r="AY14" s="8"/>
      <c r="AZ14" s="8"/>
      <c r="BA14" s="8"/>
      <c r="BJ14" s="104"/>
      <c r="BK14" s="104"/>
      <c r="BL14" s="104"/>
      <c r="BM14" s="112" t="s">
        <v>172</v>
      </c>
      <c r="BN14" s="112" t="s">
        <v>123</v>
      </c>
      <c r="BO14" s="104"/>
      <c r="BP14" s="105"/>
    </row>
    <row r="15" spans="1:74" s="8" customFormat="1" ht="30" customHeight="1">
      <c r="A15" s="199"/>
      <c r="B15" s="198" t="s">
        <v>371</v>
      </c>
      <c r="C15" s="138"/>
      <c r="D15" s="184"/>
      <c r="E15" s="150"/>
      <c r="F15" s="149"/>
      <c r="G15" s="132"/>
      <c r="H15" s="132"/>
      <c r="I15" s="132"/>
      <c r="J15" s="132"/>
      <c r="K15" s="185" t="str">
        <f>IF(I15="","",VLOOKUP(J15,'Lookup Table (2)'!$O$3:$S$7,MATCH(I15,'Lookup Table (2)'!$O$3:$S$3,0),FALSE))</f>
        <v/>
      </c>
      <c r="L15" s="186"/>
      <c r="M15" s="150"/>
      <c r="N15" s="150"/>
      <c r="O15" s="185" t="str">
        <f t="shared" ref="O15:O66" si="0">IF(M15="",K15,IF(P15&lt;=3,"Low",IF(AND(3&lt;P15,P15&lt;6),"Moderate",IF(AND(6&lt;=P15,P15&lt;7),"High",IF(AND(7&lt;=P15,P15&lt;=9),"Critical","Catastrophic")))))</f>
        <v/>
      </c>
      <c r="P15" s="134" t="str">
        <f t="shared" ref="P15:P46" si="1">IF(K15="","",_xlfn.IFNA(VLOOKUP($K15,$AZ$4:$BA$8,2,FALSE)*VLOOKUP($M15,$AX$4:$AY$8,2,FALSE),""))</f>
        <v/>
      </c>
      <c r="Q15" s="134" t="e">
        <f>IF(#REF!="","",$B$5)</f>
        <v>#REF!</v>
      </c>
      <c r="R15" s="134" t="e">
        <f>IF(#REF!="","",$B$6)</f>
        <v>#REF!</v>
      </c>
      <c r="S15" s="134" t="e">
        <f>IF(#REF!="","",$B$7)</f>
        <v>#REF!</v>
      </c>
      <c r="T15" s="134" t="e">
        <f>IF(#REF!="","",$B$8)</f>
        <v>#REF!</v>
      </c>
      <c r="U15" s="135" t="e">
        <f>IF(#REF!="","",$B$9)</f>
        <v>#REF!</v>
      </c>
      <c r="V15" s="136" t="e">
        <f>IF(#REF!="","",$B$10)</f>
        <v>#REF!</v>
      </c>
      <c r="W15" s="134">
        <f>IF($K$13="yes",1,0)</f>
        <v>0</v>
      </c>
      <c r="X15" s="134">
        <f>IF($G$12="yes",1,0)</f>
        <v>0</v>
      </c>
      <c r="Y15" s="134">
        <f>IF($G$13="yes",1,0)</f>
        <v>0</v>
      </c>
      <c r="Z15" s="134">
        <f>IF($K$12="yes",1,0)</f>
        <v>0</v>
      </c>
      <c r="AA15" s="134" t="str">
        <f>IF($AV15="","",$AV15)</f>
        <v/>
      </c>
      <c r="AB15" s="134" t="str">
        <f t="shared" ref="AB15:AB28" si="2">IF($AW15="","",$AW15)</f>
        <v/>
      </c>
      <c r="AC15" s="134"/>
      <c r="AD15" s="134"/>
      <c r="AE15" s="104"/>
      <c r="AF15" s="108"/>
      <c r="AG15" s="98"/>
      <c r="AH15" s="101" t="s">
        <v>152</v>
      </c>
      <c r="AI15" s="101" t="s">
        <v>153</v>
      </c>
      <c r="AJ15" s="101"/>
      <c r="AK15" s="101" t="s">
        <v>105</v>
      </c>
      <c r="AL15" s="101"/>
      <c r="AM15" s="101"/>
      <c r="AN15" s="101" t="s">
        <v>154</v>
      </c>
      <c r="AO15" s="101" t="s">
        <v>155</v>
      </c>
      <c r="AP15" s="101" t="s">
        <v>156</v>
      </c>
      <c r="AQ15" s="101" t="s">
        <v>157</v>
      </c>
      <c r="AR15" s="101"/>
    </row>
    <row r="16" spans="1:74" s="8" customFormat="1" ht="28.8">
      <c r="A16" s="195">
        <v>1</v>
      </c>
      <c r="B16" s="183" t="s">
        <v>372</v>
      </c>
      <c r="C16" s="191"/>
      <c r="D16" s="191"/>
      <c r="E16" s="189" t="s">
        <v>380</v>
      </c>
      <c r="F16" s="190"/>
      <c r="G16" s="188"/>
      <c r="H16" s="193"/>
      <c r="I16" s="193"/>
      <c r="J16" s="193"/>
      <c r="K16" s="185" t="str">
        <f>IF(I16="","",VLOOKUP(J16,'Lookup Table (2)'!$O$3:$S$7,MATCH(I16,'Lookup Table (2)'!$O$3:$S$3,0),FALSE))</f>
        <v/>
      </c>
      <c r="L16" s="186"/>
      <c r="M16" s="150"/>
      <c r="N16" s="150"/>
      <c r="O16" s="185" t="str">
        <f t="shared" si="0"/>
        <v/>
      </c>
      <c r="P16" s="134" t="str">
        <f t="shared" si="1"/>
        <v/>
      </c>
      <c r="Q16" s="134"/>
      <c r="R16" s="134"/>
      <c r="S16" s="134"/>
      <c r="T16" s="134"/>
      <c r="U16" s="135"/>
      <c r="V16" s="136"/>
      <c r="W16" s="134"/>
      <c r="X16" s="134"/>
      <c r="Y16" s="134"/>
      <c r="Z16" s="134"/>
      <c r="AA16" s="134"/>
      <c r="AB16" s="134"/>
      <c r="AC16" s="134"/>
      <c r="AD16" s="134"/>
      <c r="AE16" s="104"/>
      <c r="AF16" s="108"/>
      <c r="AG16" s="98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</row>
    <row r="17" spans="1:44" s="8" customFormat="1" ht="28.8">
      <c r="A17" s="195">
        <v>2</v>
      </c>
      <c r="B17" s="183" t="s">
        <v>382</v>
      </c>
      <c r="C17" s="191" t="s">
        <v>283</v>
      </c>
      <c r="D17" s="191" t="s">
        <v>299</v>
      </c>
      <c r="E17" s="189" t="s">
        <v>387</v>
      </c>
      <c r="F17" s="190" t="s">
        <v>388</v>
      </c>
      <c r="G17" s="188" t="s">
        <v>409</v>
      </c>
      <c r="H17" s="193" t="s">
        <v>102</v>
      </c>
      <c r="I17" s="193" t="s">
        <v>24</v>
      </c>
      <c r="J17" s="193" t="s">
        <v>23</v>
      </c>
      <c r="K17" s="185" t="str">
        <f>IF(I17="","",VLOOKUP(J17,'Lookup Table (2)'!$O$3:$S$7,MATCH(I17,'Lookup Table (2)'!$O$3:$S$3,0),FALSE))</f>
        <v>Low</v>
      </c>
      <c r="L17" s="186"/>
      <c r="M17" s="150"/>
      <c r="N17" s="150"/>
      <c r="O17" s="185" t="str">
        <f t="shared" si="0"/>
        <v>Low</v>
      </c>
      <c r="P17" s="134"/>
      <c r="Q17" s="134"/>
      <c r="R17" s="134"/>
      <c r="S17" s="134"/>
      <c r="T17" s="134"/>
      <c r="U17" s="135"/>
      <c r="V17" s="136"/>
      <c r="W17" s="134"/>
      <c r="X17" s="134"/>
      <c r="Y17" s="134"/>
      <c r="Z17" s="134"/>
      <c r="AA17" s="134"/>
      <c r="AB17" s="134"/>
      <c r="AC17" s="134"/>
      <c r="AD17" s="134"/>
      <c r="AE17" s="104"/>
      <c r="AF17" s="108"/>
      <c r="AG17" s="98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</row>
    <row r="18" spans="1:44" s="8" customFormat="1" ht="57.6">
      <c r="A18" s="195">
        <v>3</v>
      </c>
      <c r="B18" s="183" t="s">
        <v>383</v>
      </c>
      <c r="C18" s="191" t="s">
        <v>259</v>
      </c>
      <c r="D18" s="191" t="s">
        <v>307</v>
      </c>
      <c r="E18" s="189" t="s">
        <v>385</v>
      </c>
      <c r="F18" s="190"/>
      <c r="G18" s="188" t="s">
        <v>389</v>
      </c>
      <c r="H18" s="193" t="s">
        <v>89</v>
      </c>
      <c r="I18" s="193" t="s">
        <v>24</v>
      </c>
      <c r="J18" s="193" t="s">
        <v>23</v>
      </c>
      <c r="K18" s="185" t="str">
        <f>IF(I18="","",VLOOKUP(J18,'Lookup Table (2)'!$O$3:$S$7,MATCH(I18,'Lookup Table (2)'!$O$3:$S$3,0),FALSE))</f>
        <v>Low</v>
      </c>
      <c r="L18" s="186"/>
      <c r="M18" s="150"/>
      <c r="N18" s="150"/>
      <c r="O18" s="185" t="str">
        <f t="shared" si="0"/>
        <v>Low</v>
      </c>
      <c r="P18" s="134"/>
      <c r="Q18" s="134"/>
      <c r="R18" s="134"/>
      <c r="S18" s="134"/>
      <c r="T18" s="134"/>
      <c r="U18" s="135"/>
      <c r="V18" s="136"/>
      <c r="W18" s="134"/>
      <c r="X18" s="134"/>
      <c r="Y18" s="134"/>
      <c r="Z18" s="134"/>
      <c r="AA18" s="134"/>
      <c r="AB18" s="134"/>
      <c r="AC18" s="134"/>
      <c r="AD18" s="134"/>
      <c r="AE18" s="104"/>
      <c r="AF18" s="108"/>
      <c r="AG18" s="98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</row>
    <row r="19" spans="1:44" s="8" customFormat="1" ht="57.6">
      <c r="A19" s="195">
        <v>4</v>
      </c>
      <c r="B19" s="183" t="s">
        <v>384</v>
      </c>
      <c r="C19" s="191" t="s">
        <v>259</v>
      </c>
      <c r="D19" s="191" t="s">
        <v>307</v>
      </c>
      <c r="E19" s="189" t="s">
        <v>386</v>
      </c>
      <c r="F19" s="190"/>
      <c r="G19" s="188" t="s">
        <v>389</v>
      </c>
      <c r="H19" s="193" t="s">
        <v>89</v>
      </c>
      <c r="I19" s="193" t="s">
        <v>24</v>
      </c>
      <c r="J19" s="193" t="s">
        <v>23</v>
      </c>
      <c r="K19" s="185" t="str">
        <f>IF(I19="","",VLOOKUP(J19,'Lookup Table (2)'!$O$3:$S$7,MATCH(I19,'Lookup Table (2)'!$O$3:$S$3,0),FALSE))</f>
        <v>Low</v>
      </c>
      <c r="L19" s="186"/>
      <c r="M19" s="150"/>
      <c r="N19" s="150"/>
      <c r="O19" s="185" t="str">
        <f t="shared" si="0"/>
        <v>Low</v>
      </c>
      <c r="P19" s="134"/>
      <c r="Q19" s="134"/>
      <c r="R19" s="134"/>
      <c r="S19" s="134"/>
      <c r="T19" s="134"/>
      <c r="U19" s="135"/>
      <c r="V19" s="136"/>
      <c r="W19" s="134"/>
      <c r="X19" s="134"/>
      <c r="Y19" s="134"/>
      <c r="Z19" s="134"/>
      <c r="AA19" s="134"/>
      <c r="AB19" s="134"/>
      <c r="AC19" s="134"/>
      <c r="AD19" s="134"/>
      <c r="AE19" s="104"/>
      <c r="AF19" s="108"/>
      <c r="AG19" s="98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</row>
    <row r="20" spans="1:44" s="8" customFormat="1" ht="30" customHeight="1">
      <c r="A20" s="199"/>
      <c r="B20" s="198" t="s">
        <v>458</v>
      </c>
      <c r="C20" s="191"/>
      <c r="D20" s="192"/>
      <c r="E20" s="150"/>
      <c r="F20" s="150"/>
      <c r="G20" s="132"/>
      <c r="H20" s="193"/>
      <c r="I20" s="193"/>
      <c r="J20" s="193"/>
      <c r="K20" s="185" t="str">
        <f>IF(I20="","",VLOOKUP(J20,'Lookup Table (2)'!$O$3:$S$7,MATCH(I20,'Lookup Table (2)'!$O$3:$S$3,0),FALSE))</f>
        <v/>
      </c>
      <c r="L20" s="150"/>
      <c r="M20" s="150"/>
      <c r="N20" s="150"/>
      <c r="O20" s="185" t="str">
        <f t="shared" si="0"/>
        <v/>
      </c>
      <c r="P20" s="134" t="str">
        <f t="shared" si="1"/>
        <v/>
      </c>
      <c r="Q20" s="134" t="e">
        <f>IF(#REF!="","",$B$5)</f>
        <v>#REF!</v>
      </c>
      <c r="R20" s="134" t="e">
        <f>IF(#REF!="","",$B$6)</f>
        <v>#REF!</v>
      </c>
      <c r="S20" s="134" t="e">
        <f>IF(#REF!="","",$B$7)</f>
        <v>#REF!</v>
      </c>
      <c r="T20" s="134" t="e">
        <f>IF(#REF!="","",$B$8)</f>
        <v>#REF!</v>
      </c>
      <c r="U20" s="135" t="e">
        <f>IF(#REF!="","",$B$9)</f>
        <v>#REF!</v>
      </c>
      <c r="V20" s="136" t="str">
        <f t="shared" ref="V20:V28" si="3">IF($B$10="","",$B$10)</f>
        <v/>
      </c>
      <c r="W20" s="134"/>
      <c r="X20" s="134"/>
      <c r="Y20" s="134"/>
      <c r="Z20" s="134"/>
      <c r="AA20" s="134">
        <f t="shared" ref="AA20:AA28" si="4">$AV20</f>
        <v>0</v>
      </c>
      <c r="AB20" s="134" t="str">
        <f t="shared" si="2"/>
        <v/>
      </c>
      <c r="AC20" s="134"/>
      <c r="AD20" s="134"/>
      <c r="AE20" s="104"/>
      <c r="AF20" s="99"/>
      <c r="AG20" s="98"/>
      <c r="AH20" s="101" t="s">
        <v>167</v>
      </c>
      <c r="AI20" s="101" t="s">
        <v>105</v>
      </c>
      <c r="AJ20" s="101"/>
      <c r="AK20" s="101"/>
      <c r="AL20" s="101"/>
      <c r="AM20" s="101"/>
      <c r="AN20" s="101" t="s">
        <v>168</v>
      </c>
      <c r="AO20" s="101" t="s">
        <v>169</v>
      </c>
      <c r="AP20" s="101" t="s">
        <v>170</v>
      </c>
      <c r="AQ20" s="101" t="s">
        <v>171</v>
      </c>
      <c r="AR20" s="101"/>
    </row>
    <row r="21" spans="1:44" s="8" customFormat="1" ht="36" customHeight="1">
      <c r="A21" s="195">
        <v>1</v>
      </c>
      <c r="B21" s="194" t="s">
        <v>390</v>
      </c>
      <c r="C21" s="191"/>
      <c r="D21" s="191"/>
      <c r="E21" s="189" t="s">
        <v>266</v>
      </c>
      <c r="F21" s="190"/>
      <c r="G21" s="188"/>
      <c r="H21" s="193"/>
      <c r="I21" s="193"/>
      <c r="J21" s="193"/>
      <c r="K21" s="185"/>
      <c r="L21" s="150"/>
      <c r="M21" s="150"/>
      <c r="N21" s="150"/>
      <c r="O21" s="185">
        <f t="shared" si="0"/>
        <v>0</v>
      </c>
      <c r="P21" s="134" t="str">
        <f t="shared" si="1"/>
        <v/>
      </c>
      <c r="Q21" s="134" t="e">
        <f>IF(#REF!="","",$B$5)</f>
        <v>#REF!</v>
      </c>
      <c r="R21" s="134" t="e">
        <f>IF(#REF!="","",$B$6)</f>
        <v>#REF!</v>
      </c>
      <c r="S21" s="134" t="e">
        <f>IF(#REF!="","",$B$7)</f>
        <v>#REF!</v>
      </c>
      <c r="T21" s="134" t="e">
        <f>IF(#REF!="","",$B$8)</f>
        <v>#REF!</v>
      </c>
      <c r="U21" s="135" t="e">
        <f>IF(#REF!="","",$B$9)</f>
        <v>#REF!</v>
      </c>
      <c r="V21" s="136" t="str">
        <f t="shared" si="3"/>
        <v/>
      </c>
      <c r="W21" s="134"/>
      <c r="X21" s="134"/>
      <c r="Y21" s="134"/>
      <c r="Z21" s="134"/>
      <c r="AA21" s="134">
        <f t="shared" si="4"/>
        <v>0</v>
      </c>
      <c r="AB21" s="134" t="str">
        <f t="shared" si="2"/>
        <v/>
      </c>
      <c r="AC21" s="134"/>
      <c r="AD21" s="134"/>
      <c r="AE21" s="104"/>
      <c r="AF21" s="104"/>
      <c r="AG21" s="98"/>
      <c r="AH21" s="106" t="s">
        <v>173</v>
      </c>
      <c r="AI21" s="106"/>
      <c r="AJ21" s="106"/>
      <c r="AK21" s="106"/>
      <c r="AL21" s="106"/>
      <c r="AM21" s="106"/>
      <c r="AN21" s="106" t="s">
        <v>174</v>
      </c>
      <c r="AO21" s="106" t="s">
        <v>175</v>
      </c>
      <c r="AP21" s="106" t="s">
        <v>176</v>
      </c>
      <c r="AQ21" s="106" t="s">
        <v>134</v>
      </c>
      <c r="AR21" s="106"/>
    </row>
    <row r="22" spans="1:44" s="8" customFormat="1" ht="40.799999999999997" customHeight="1">
      <c r="A22" s="195">
        <v>2</v>
      </c>
      <c r="B22" s="194" t="s">
        <v>427</v>
      </c>
      <c r="C22" s="191" t="s">
        <v>283</v>
      </c>
      <c r="D22" s="191" t="s">
        <v>299</v>
      </c>
      <c r="E22" s="197" t="s">
        <v>428</v>
      </c>
      <c r="F22" s="197" t="s">
        <v>398</v>
      </c>
      <c r="G22" s="188" t="s">
        <v>409</v>
      </c>
      <c r="H22" s="193" t="s">
        <v>102</v>
      </c>
      <c r="I22" s="193" t="s">
        <v>24</v>
      </c>
      <c r="J22" s="193" t="s">
        <v>23</v>
      </c>
      <c r="K22" s="185" t="str">
        <f>IF(I22="","",VLOOKUP(J22,'Lookup Table (2)'!$O$3:$S$7,MATCH(I22,'Lookup Table (2)'!$O$3:$S$3,0),FALSE))</f>
        <v>Low</v>
      </c>
      <c r="L22" s="150"/>
      <c r="M22" s="150"/>
      <c r="N22" s="150"/>
      <c r="O22" s="185" t="str">
        <f t="shared" si="0"/>
        <v>Low</v>
      </c>
      <c r="P22" s="134"/>
      <c r="Q22" s="134"/>
      <c r="R22" s="134"/>
      <c r="S22" s="134"/>
      <c r="T22" s="134"/>
      <c r="U22" s="135"/>
      <c r="V22" s="136"/>
      <c r="W22" s="134"/>
      <c r="X22" s="134"/>
      <c r="Y22" s="134"/>
      <c r="Z22" s="134"/>
      <c r="AA22" s="134"/>
      <c r="AB22" s="134"/>
      <c r="AC22" s="134"/>
      <c r="AD22" s="134"/>
      <c r="AE22" s="104"/>
      <c r="AF22" s="104"/>
      <c r="AG22" s="98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</row>
    <row r="23" spans="1:44" s="8" customFormat="1" ht="59.4" customHeight="1">
      <c r="A23" s="195">
        <v>3</v>
      </c>
      <c r="B23" s="197" t="s">
        <v>391</v>
      </c>
      <c r="C23" s="191" t="s">
        <v>259</v>
      </c>
      <c r="D23" s="191" t="s">
        <v>307</v>
      </c>
      <c r="E23" s="197" t="s">
        <v>395</v>
      </c>
      <c r="F23" s="197" t="s">
        <v>398</v>
      </c>
      <c r="G23" s="188" t="s">
        <v>409</v>
      </c>
      <c r="H23" s="193" t="s">
        <v>102</v>
      </c>
      <c r="I23" s="193" t="s">
        <v>24</v>
      </c>
      <c r="J23" s="193" t="s">
        <v>23</v>
      </c>
      <c r="K23" s="185" t="str">
        <f>IF(I23="","",VLOOKUP(J23,'Lookup Table (2)'!$O$3:$S$7,MATCH(I23,'Lookup Table (2)'!$O$3:$S$3,0),FALSE))</f>
        <v>Low</v>
      </c>
      <c r="L23" s="150"/>
      <c r="M23" s="150"/>
      <c r="O23" s="185" t="str">
        <f t="shared" si="0"/>
        <v>Low</v>
      </c>
      <c r="P23" s="134" t="str">
        <f t="shared" si="1"/>
        <v/>
      </c>
      <c r="Q23" s="134" t="e">
        <f>IF(#REF!="","",$B$5)</f>
        <v>#REF!</v>
      </c>
      <c r="R23" s="134" t="e">
        <f>IF(#REF!="","",$B$6)</f>
        <v>#REF!</v>
      </c>
      <c r="S23" s="134" t="e">
        <f>IF(#REF!="","",$B$7)</f>
        <v>#REF!</v>
      </c>
      <c r="T23" s="134" t="e">
        <f>IF(#REF!="","",$B$8)</f>
        <v>#REF!</v>
      </c>
      <c r="U23" s="135" t="e">
        <f>IF(#REF!="","",$B$9)</f>
        <v>#REF!</v>
      </c>
      <c r="V23" s="136" t="str">
        <f t="shared" si="3"/>
        <v/>
      </c>
      <c r="W23" s="134"/>
      <c r="X23" s="134"/>
      <c r="Y23" s="134"/>
      <c r="Z23" s="134"/>
      <c r="AA23" s="134">
        <f t="shared" si="4"/>
        <v>0</v>
      </c>
      <c r="AB23" s="134" t="str">
        <f t="shared" si="2"/>
        <v/>
      </c>
      <c r="AC23" s="134"/>
      <c r="AD23" s="134"/>
      <c r="AE23" s="104"/>
      <c r="AF23" s="104"/>
      <c r="AG23" s="98"/>
      <c r="AH23" s="106" t="s">
        <v>177</v>
      </c>
      <c r="AI23" s="106"/>
      <c r="AJ23" s="106"/>
      <c r="AK23" s="106"/>
      <c r="AL23" s="106"/>
      <c r="AM23" s="106"/>
      <c r="AN23" s="106" t="s">
        <v>178</v>
      </c>
      <c r="AO23" s="106" t="s">
        <v>179</v>
      </c>
      <c r="AP23" s="106" t="s">
        <v>180</v>
      </c>
      <c r="AQ23" s="106"/>
      <c r="AR23" s="106"/>
    </row>
    <row r="24" spans="1:44" s="8" customFormat="1" ht="57.6">
      <c r="A24" s="195">
        <v>4</v>
      </c>
      <c r="B24" s="197" t="s">
        <v>429</v>
      </c>
      <c r="C24" s="191" t="s">
        <v>283</v>
      </c>
      <c r="D24" s="191" t="s">
        <v>299</v>
      </c>
      <c r="E24" s="197" t="s">
        <v>396</v>
      </c>
      <c r="F24" s="197" t="s">
        <v>398</v>
      </c>
      <c r="G24" s="188" t="s">
        <v>409</v>
      </c>
      <c r="H24" s="193" t="s">
        <v>102</v>
      </c>
      <c r="I24" s="193" t="s">
        <v>24</v>
      </c>
      <c r="J24" s="193" t="s">
        <v>23</v>
      </c>
      <c r="K24" s="185" t="str">
        <f>IF(I24="","",VLOOKUP(J24,'Lookup Table (2)'!$O$3:$S$7,MATCH(I24,'Lookup Table (2)'!$O$3:$S$3,0),FALSE))</f>
        <v>Low</v>
      </c>
      <c r="L24" s="169"/>
      <c r="M24" s="169"/>
      <c r="N24" s="169"/>
      <c r="O24" s="185" t="str">
        <f t="shared" si="0"/>
        <v>Low</v>
      </c>
      <c r="P24" s="134" t="str">
        <f t="shared" si="1"/>
        <v/>
      </c>
      <c r="Q24" s="134" t="e">
        <f>IF(#REF!="","",$B$5)</f>
        <v>#REF!</v>
      </c>
      <c r="R24" s="134" t="e">
        <f>IF(#REF!="","",$B$6)</f>
        <v>#REF!</v>
      </c>
      <c r="S24" s="134" t="e">
        <f>IF(#REF!="","",$B$7)</f>
        <v>#REF!</v>
      </c>
      <c r="T24" s="134" t="e">
        <f>IF(#REF!="","",$B$8)</f>
        <v>#REF!</v>
      </c>
      <c r="U24" s="135" t="e">
        <f>IF(#REF!="","",$B$9)</f>
        <v>#REF!</v>
      </c>
      <c r="V24" s="136" t="str">
        <f t="shared" si="3"/>
        <v/>
      </c>
      <c r="W24" s="134"/>
      <c r="X24" s="134"/>
      <c r="Y24" s="134"/>
      <c r="Z24" s="134"/>
      <c r="AA24" s="134">
        <f t="shared" si="4"/>
        <v>0</v>
      </c>
      <c r="AB24" s="134" t="str">
        <f t="shared" si="2"/>
        <v/>
      </c>
      <c r="AC24" s="134"/>
      <c r="AD24" s="134"/>
      <c r="AE24" s="104"/>
      <c r="AF24" s="104"/>
      <c r="AG24" s="98"/>
      <c r="AH24" s="106"/>
      <c r="AI24" s="106"/>
      <c r="AJ24" s="106"/>
      <c r="AK24" s="106"/>
      <c r="AL24" s="106"/>
      <c r="AM24" s="106"/>
      <c r="AN24" s="106"/>
      <c r="AO24" s="106"/>
      <c r="AP24" s="107" t="s">
        <v>181</v>
      </c>
      <c r="AQ24" s="106"/>
      <c r="AR24" s="106"/>
    </row>
    <row r="25" spans="1:44" s="8" customFormat="1" ht="46.8">
      <c r="A25" s="195">
        <v>5</v>
      </c>
      <c r="B25" s="197" t="s">
        <v>392</v>
      </c>
      <c r="C25" s="191" t="s">
        <v>283</v>
      </c>
      <c r="D25" s="191" t="s">
        <v>299</v>
      </c>
      <c r="E25" s="197" t="s">
        <v>397</v>
      </c>
      <c r="F25" s="197" t="s">
        <v>398</v>
      </c>
      <c r="G25" s="188" t="s">
        <v>409</v>
      </c>
      <c r="H25" s="193" t="s">
        <v>102</v>
      </c>
      <c r="I25" s="193" t="s">
        <v>24</v>
      </c>
      <c r="J25" s="193" t="s">
        <v>23</v>
      </c>
      <c r="K25" s="185" t="str">
        <f>IF(I25="","",VLOOKUP(J25,'Lookup Table (2)'!$O$3:$S$7,MATCH(I25,'Lookup Table (2)'!$O$3:$S$3,0),FALSE))</f>
        <v>Low</v>
      </c>
      <c r="L25" s="169"/>
      <c r="M25" s="169"/>
      <c r="N25" s="169"/>
      <c r="O25" s="185" t="str">
        <f t="shared" si="0"/>
        <v>Low</v>
      </c>
      <c r="P25" s="134" t="str">
        <f t="shared" si="1"/>
        <v/>
      </c>
      <c r="Q25" s="134" t="e">
        <f>IF(#REF!="","",$B$5)</f>
        <v>#REF!</v>
      </c>
      <c r="R25" s="134" t="e">
        <f>IF(#REF!="","",$B$6)</f>
        <v>#REF!</v>
      </c>
      <c r="S25" s="134" t="e">
        <f>IF(#REF!="","",$B$7)</f>
        <v>#REF!</v>
      </c>
      <c r="T25" s="134" t="e">
        <f>IF(#REF!="","",$B$8)</f>
        <v>#REF!</v>
      </c>
      <c r="U25" s="135" t="e">
        <f>IF(#REF!="","",$B$9)</f>
        <v>#REF!</v>
      </c>
      <c r="V25" s="136" t="str">
        <f t="shared" si="3"/>
        <v/>
      </c>
      <c r="W25" s="134"/>
      <c r="X25" s="134"/>
      <c r="Y25" s="134"/>
      <c r="Z25" s="134"/>
      <c r="AA25" s="134">
        <f t="shared" si="4"/>
        <v>0</v>
      </c>
      <c r="AB25" s="134" t="str">
        <f t="shared" si="2"/>
        <v/>
      </c>
      <c r="AC25" s="134"/>
      <c r="AD25" s="134"/>
      <c r="AE25" s="104"/>
      <c r="AF25" s="104"/>
      <c r="AG25" s="98"/>
      <c r="AH25" s="106"/>
      <c r="AI25" s="106"/>
      <c r="AJ25" s="106"/>
      <c r="AK25" s="106"/>
      <c r="AL25" s="106"/>
      <c r="AM25" s="106"/>
      <c r="AN25" s="106"/>
      <c r="AO25" s="106"/>
      <c r="AP25" s="107" t="s">
        <v>182</v>
      </c>
      <c r="AQ25" s="106"/>
      <c r="AR25" s="106"/>
    </row>
    <row r="26" spans="1:44" s="8" customFormat="1" ht="86.4">
      <c r="A26" s="195">
        <v>6</v>
      </c>
      <c r="B26" s="197" t="s">
        <v>402</v>
      </c>
      <c r="C26" s="191" t="s">
        <v>251</v>
      </c>
      <c r="D26" s="191" t="s">
        <v>320</v>
      </c>
      <c r="E26" s="197" t="s">
        <v>394</v>
      </c>
      <c r="F26" s="194" t="s">
        <v>399</v>
      </c>
      <c r="G26" s="188" t="s">
        <v>400</v>
      </c>
      <c r="H26" s="193" t="s">
        <v>102</v>
      </c>
      <c r="I26" s="193" t="s">
        <v>24</v>
      </c>
      <c r="J26" s="193" t="s">
        <v>23</v>
      </c>
      <c r="K26" s="185" t="str">
        <f>IF(I26="","",VLOOKUP(J26,'Lookup Table (2)'!$O$3:$S$7,MATCH(I26,'Lookup Table (2)'!$O$3:$S$3,0),FALSE))</f>
        <v>Low</v>
      </c>
      <c r="L26" s="169"/>
      <c r="M26" s="169"/>
      <c r="N26" s="169"/>
      <c r="O26" s="185" t="str">
        <f t="shared" si="0"/>
        <v>Low</v>
      </c>
      <c r="P26" s="134" t="str">
        <f t="shared" si="1"/>
        <v/>
      </c>
      <c r="Q26" s="134" t="e">
        <f>IF(#REF!="","",$B$5)</f>
        <v>#REF!</v>
      </c>
      <c r="R26" s="134" t="e">
        <f>IF(#REF!="","",$B$6)</f>
        <v>#REF!</v>
      </c>
      <c r="S26" s="134" t="e">
        <f>IF(#REF!="","",$B$7)</f>
        <v>#REF!</v>
      </c>
      <c r="T26" s="134" t="e">
        <f>IF(#REF!="","",$B$8)</f>
        <v>#REF!</v>
      </c>
      <c r="U26" s="135" t="e">
        <f>IF(#REF!="","",$B$9)</f>
        <v>#REF!</v>
      </c>
      <c r="V26" s="136" t="str">
        <f t="shared" si="3"/>
        <v/>
      </c>
      <c r="W26" s="134"/>
      <c r="X26" s="134"/>
      <c r="Y26" s="134"/>
      <c r="Z26" s="134"/>
      <c r="AA26" s="134">
        <f t="shared" si="4"/>
        <v>0</v>
      </c>
      <c r="AB26" s="134" t="str">
        <f t="shared" si="2"/>
        <v/>
      </c>
      <c r="AC26" s="134"/>
      <c r="AD26" s="134"/>
      <c r="AE26" s="104"/>
      <c r="AF26" s="104"/>
      <c r="AG26" s="98"/>
      <c r="AH26" s="106"/>
      <c r="AI26" s="106"/>
      <c r="AJ26" s="106"/>
      <c r="AK26" s="106"/>
      <c r="AL26" s="106"/>
      <c r="AM26" s="106"/>
      <c r="AN26" s="106"/>
      <c r="AO26" s="106"/>
      <c r="AP26" s="106" t="s">
        <v>134</v>
      </c>
      <c r="AQ26" s="106"/>
      <c r="AR26" s="106"/>
    </row>
    <row r="27" spans="1:44" s="8" customFormat="1" ht="57.6">
      <c r="A27" s="195">
        <v>7</v>
      </c>
      <c r="B27" s="197" t="s">
        <v>393</v>
      </c>
      <c r="C27" s="191" t="s">
        <v>283</v>
      </c>
      <c r="D27" s="191" t="s">
        <v>299</v>
      </c>
      <c r="E27" s="197" t="s">
        <v>408</v>
      </c>
      <c r="F27" s="194" t="s">
        <v>398</v>
      </c>
      <c r="G27" s="188" t="s">
        <v>409</v>
      </c>
      <c r="H27" s="193" t="s">
        <v>102</v>
      </c>
      <c r="I27" s="193" t="s">
        <v>24</v>
      </c>
      <c r="J27" s="193" t="s">
        <v>23</v>
      </c>
      <c r="K27" s="185" t="str">
        <f>IF(I27="","",VLOOKUP(J27,'Lookup Table (2)'!$O$3:$S$7,MATCH(I27,'Lookup Table (2)'!$O$3:$S$3,0),FALSE))</f>
        <v>Low</v>
      </c>
      <c r="L27" s="169"/>
      <c r="M27" s="169"/>
      <c r="N27" s="169"/>
      <c r="O27" s="185" t="str">
        <f t="shared" si="0"/>
        <v>Low</v>
      </c>
      <c r="P27" s="134" t="str">
        <f t="shared" si="1"/>
        <v/>
      </c>
      <c r="Q27" s="134" t="e">
        <f>IF(#REF!="","",$B$5)</f>
        <v>#REF!</v>
      </c>
      <c r="R27" s="134" t="e">
        <f>IF(#REF!="","",$B$6)</f>
        <v>#REF!</v>
      </c>
      <c r="S27" s="134" t="e">
        <f>IF(#REF!="","",$B$7)</f>
        <v>#REF!</v>
      </c>
      <c r="T27" s="134" t="e">
        <f>IF(#REF!="","",$B$8)</f>
        <v>#REF!</v>
      </c>
      <c r="U27" s="135" t="e">
        <f>IF(#REF!="","",$B$9)</f>
        <v>#REF!</v>
      </c>
      <c r="V27" s="136" t="str">
        <f t="shared" si="3"/>
        <v/>
      </c>
      <c r="W27" s="134"/>
      <c r="X27" s="134"/>
      <c r="Y27" s="134"/>
      <c r="Z27" s="134"/>
      <c r="AA27" s="134">
        <f t="shared" si="4"/>
        <v>0</v>
      </c>
      <c r="AB27" s="134" t="str">
        <f t="shared" si="2"/>
        <v/>
      </c>
      <c r="AC27" s="134"/>
      <c r="AD27" s="134"/>
      <c r="AE27" s="104"/>
      <c r="AF27" s="104"/>
      <c r="AG27" s="98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106"/>
    </row>
    <row r="28" spans="1:44" s="8" customFormat="1" ht="57.6">
      <c r="A28" s="195">
        <v>8</v>
      </c>
      <c r="B28" s="197" t="s">
        <v>477</v>
      </c>
      <c r="C28" s="191" t="s">
        <v>283</v>
      </c>
      <c r="D28" s="191" t="s">
        <v>299</v>
      </c>
      <c r="E28" s="197" t="s">
        <v>408</v>
      </c>
      <c r="F28" s="194" t="s">
        <v>398</v>
      </c>
      <c r="G28" s="188" t="s">
        <v>409</v>
      </c>
      <c r="H28" s="193" t="s">
        <v>102</v>
      </c>
      <c r="I28" s="193" t="s">
        <v>24</v>
      </c>
      <c r="J28" s="193" t="s">
        <v>23</v>
      </c>
      <c r="K28" s="185" t="str">
        <f>IF(I28="","",VLOOKUP(J28,'Lookup Table (2)'!$O$3:$S$7,MATCH(I28,'Lookup Table (2)'!$O$3:$S$3,0),FALSE))</f>
        <v>Low</v>
      </c>
      <c r="L28" s="169"/>
      <c r="M28" s="169"/>
      <c r="N28" s="169"/>
      <c r="O28" s="185" t="str">
        <f t="shared" si="0"/>
        <v>Low</v>
      </c>
      <c r="P28" s="134" t="str">
        <f t="shared" si="1"/>
        <v/>
      </c>
      <c r="Q28" s="134" t="e">
        <f>IF(#REF!="","",$B$5)</f>
        <v>#REF!</v>
      </c>
      <c r="R28" s="134" t="e">
        <f>IF(#REF!="","",$B$6)</f>
        <v>#REF!</v>
      </c>
      <c r="S28" s="134" t="e">
        <f>IF(#REF!="","",$B$7)</f>
        <v>#REF!</v>
      </c>
      <c r="T28" s="134" t="e">
        <f>IF(#REF!="","",$B$8)</f>
        <v>#REF!</v>
      </c>
      <c r="U28" s="135" t="e">
        <f>IF(#REF!="","",$B$9)</f>
        <v>#REF!</v>
      </c>
      <c r="V28" s="136" t="str">
        <f t="shared" si="3"/>
        <v/>
      </c>
      <c r="W28" s="134"/>
      <c r="X28" s="134"/>
      <c r="Y28" s="134"/>
      <c r="Z28" s="134"/>
      <c r="AA28" s="134">
        <f t="shared" si="4"/>
        <v>0</v>
      </c>
      <c r="AB28" s="134" t="str">
        <f t="shared" si="2"/>
        <v/>
      </c>
      <c r="AC28" s="134"/>
      <c r="AD28" s="134"/>
      <c r="AE28" s="104"/>
      <c r="AF28" s="104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</row>
    <row r="29" spans="1:44" s="8" customFormat="1" ht="57.6">
      <c r="A29" s="195">
        <v>9</v>
      </c>
      <c r="B29" s="197" t="s">
        <v>401</v>
      </c>
      <c r="C29" s="191" t="s">
        <v>283</v>
      </c>
      <c r="D29" s="191" t="s">
        <v>299</v>
      </c>
      <c r="E29" s="197" t="s">
        <v>408</v>
      </c>
      <c r="F29" s="194" t="s">
        <v>398</v>
      </c>
      <c r="G29" s="188" t="s">
        <v>409</v>
      </c>
      <c r="H29" s="193" t="s">
        <v>102</v>
      </c>
      <c r="I29" s="193" t="s">
        <v>24</v>
      </c>
      <c r="J29" s="193" t="s">
        <v>23</v>
      </c>
      <c r="K29" s="185" t="str">
        <f>IF(I29="","",VLOOKUP(J29,'Lookup Table (2)'!$O$3:$S$7,MATCH(I29,'Lookup Table (2)'!$O$3:$S$3,0),FALSE))</f>
        <v>Low</v>
      </c>
      <c r="L29" s="169"/>
      <c r="M29" s="169"/>
      <c r="N29" s="169"/>
      <c r="O29" s="185" t="str">
        <f t="shared" si="0"/>
        <v>Low</v>
      </c>
      <c r="P29" s="134" t="str">
        <f t="shared" si="1"/>
        <v/>
      </c>
      <c r="Q29" s="134" t="e">
        <f>IF(#REF!="","",$B$5)</f>
        <v>#REF!</v>
      </c>
      <c r="R29" s="134" t="e">
        <f>IF(#REF!="","",$B$6)</f>
        <v>#REF!</v>
      </c>
      <c r="S29" s="134" t="e">
        <f>IF(#REF!="","",$B$7)</f>
        <v>#REF!</v>
      </c>
      <c r="T29" s="134" t="e">
        <f>IF(#REF!="","",$B$8)</f>
        <v>#REF!</v>
      </c>
      <c r="U29" s="135" t="e">
        <f>IF(#REF!="","",$B$9)</f>
        <v>#REF!</v>
      </c>
      <c r="V29" s="136" t="str">
        <f>IF($B$10="","",$B$10)</f>
        <v/>
      </c>
      <c r="W29" s="134"/>
      <c r="X29" s="134"/>
      <c r="Y29" s="134"/>
      <c r="Z29" s="134"/>
      <c r="AA29" s="134">
        <f>$AV29</f>
        <v>0</v>
      </c>
      <c r="AB29" s="134" t="str">
        <f>IF($AW29="","",$AW29)</f>
        <v/>
      </c>
      <c r="AC29" s="134"/>
      <c r="AD29" s="134"/>
      <c r="AE29" s="104"/>
      <c r="AF29" s="104"/>
      <c r="AG29" s="98"/>
      <c r="AN29" s="98"/>
      <c r="AO29" s="98"/>
      <c r="AP29" s="98"/>
      <c r="AQ29" s="98"/>
      <c r="AR29" s="98"/>
    </row>
    <row r="30" spans="1:44" s="8" customFormat="1" ht="28.8">
      <c r="A30" s="195">
        <v>10</v>
      </c>
      <c r="B30" s="197" t="s">
        <v>403</v>
      </c>
      <c r="C30" s="191" t="s">
        <v>283</v>
      </c>
      <c r="D30" s="191" t="s">
        <v>299</v>
      </c>
      <c r="E30" s="197" t="s">
        <v>408</v>
      </c>
      <c r="F30" s="194" t="s">
        <v>398</v>
      </c>
      <c r="G30" s="188" t="s">
        <v>409</v>
      </c>
      <c r="H30" s="193" t="s">
        <v>102</v>
      </c>
      <c r="I30" s="193" t="s">
        <v>24</v>
      </c>
      <c r="J30" s="193" t="s">
        <v>23</v>
      </c>
      <c r="K30" s="185" t="str">
        <f>IF(I30="","",VLOOKUP(J30,'Lookup Table (2)'!$O$3:$S$7,MATCH(I30,'Lookup Table (2)'!$O$3:$S$3,0),FALSE))</f>
        <v>Low</v>
      </c>
      <c r="L30" s="169"/>
      <c r="M30" s="169"/>
      <c r="N30" s="169"/>
      <c r="O30" s="185" t="str">
        <f t="shared" si="0"/>
        <v>Low</v>
      </c>
      <c r="P30" s="134" t="str">
        <f t="shared" si="1"/>
        <v/>
      </c>
      <c r="Q30" s="134" t="e">
        <f>IF(#REF!="","",$B$5)</f>
        <v>#REF!</v>
      </c>
      <c r="R30" s="134" t="e">
        <f>IF(#REF!="","",$B$6)</f>
        <v>#REF!</v>
      </c>
      <c r="S30" s="134" t="e">
        <f>IF(#REF!="","",$B$7)</f>
        <v>#REF!</v>
      </c>
      <c r="T30" s="134" t="e">
        <f>IF(#REF!="","",$B$8)</f>
        <v>#REF!</v>
      </c>
      <c r="U30" s="135" t="e">
        <f>IF(#REF!="","",$B$9)</f>
        <v>#REF!</v>
      </c>
      <c r="V30" s="136" t="str">
        <f>IF($B$10="","",$B$10)</f>
        <v/>
      </c>
      <c r="W30" s="134"/>
      <c r="X30" s="134"/>
      <c r="Y30" s="134"/>
      <c r="Z30" s="134"/>
      <c r="AA30" s="134">
        <f>$AV30</f>
        <v>0</v>
      </c>
      <c r="AB30" s="134" t="str">
        <f>IF($AW30="","",$AW30)</f>
        <v/>
      </c>
      <c r="AC30" s="134"/>
      <c r="AD30" s="134"/>
      <c r="AE30" s="104"/>
      <c r="AF30" s="104"/>
      <c r="AG30" s="98"/>
      <c r="AN30" s="98"/>
      <c r="AO30" s="98"/>
      <c r="AP30" s="98"/>
      <c r="AQ30" s="98"/>
      <c r="AR30" s="98"/>
    </row>
    <row r="31" spans="1:44" s="8" customFormat="1" ht="30" customHeight="1">
      <c r="A31" s="195">
        <v>11</v>
      </c>
      <c r="B31" s="197" t="s">
        <v>404</v>
      </c>
      <c r="C31" s="191" t="s">
        <v>283</v>
      </c>
      <c r="D31" s="191" t="s">
        <v>299</v>
      </c>
      <c r="E31" s="197" t="s">
        <v>408</v>
      </c>
      <c r="F31" s="194" t="s">
        <v>398</v>
      </c>
      <c r="G31" s="188" t="s">
        <v>409</v>
      </c>
      <c r="H31" s="193" t="s">
        <v>102</v>
      </c>
      <c r="I31" s="193" t="s">
        <v>24</v>
      </c>
      <c r="J31" s="193" t="s">
        <v>23</v>
      </c>
      <c r="K31" s="185" t="str">
        <f>IF(I31="","",VLOOKUP(J31,'Lookup Table (2)'!$O$3:$S$7,MATCH(I31,'Lookup Table (2)'!$O$3:$S$3,0),FALSE))</f>
        <v>Low</v>
      </c>
      <c r="L31" s="169"/>
      <c r="M31" s="169"/>
      <c r="N31" s="169"/>
      <c r="O31" s="185" t="str">
        <f t="shared" si="0"/>
        <v>Low</v>
      </c>
      <c r="P31" s="134" t="str">
        <f t="shared" si="1"/>
        <v/>
      </c>
      <c r="Q31" s="134" t="e">
        <f>IF(#REF!="","",$B$5)</f>
        <v>#REF!</v>
      </c>
      <c r="R31" s="134" t="e">
        <f>IF(#REF!="","",$B$6)</f>
        <v>#REF!</v>
      </c>
      <c r="S31" s="134" t="e">
        <f>IF(#REF!="","",$B$7)</f>
        <v>#REF!</v>
      </c>
      <c r="T31" s="134" t="e">
        <f>IF(#REF!="","",$B$8)</f>
        <v>#REF!</v>
      </c>
      <c r="U31" s="135" t="e">
        <f>IF(#REF!="","",$B$9)</f>
        <v>#REF!</v>
      </c>
      <c r="V31" s="136" t="str">
        <f>IF($B$10="","",$B$10)</f>
        <v/>
      </c>
      <c r="W31" s="134"/>
      <c r="X31" s="134"/>
      <c r="Y31" s="134"/>
      <c r="Z31" s="134"/>
      <c r="AA31" s="134">
        <f>$AV31</f>
        <v>0</v>
      </c>
      <c r="AB31" s="134" t="str">
        <f>IF($AW31="","",$AW31)</f>
        <v/>
      </c>
      <c r="AC31" s="134"/>
      <c r="AD31" s="134"/>
      <c r="AE31" s="104"/>
      <c r="AF31" s="104"/>
      <c r="AG31" s="98"/>
      <c r="AN31" s="98"/>
      <c r="AO31" s="98"/>
      <c r="AP31" s="98"/>
      <c r="AQ31" s="98"/>
      <c r="AR31" s="98"/>
    </row>
    <row r="32" spans="1:44" s="8" customFormat="1" ht="28.8">
      <c r="A32" s="195">
        <v>12</v>
      </c>
      <c r="B32" s="197" t="s">
        <v>405</v>
      </c>
      <c r="C32" s="191" t="s">
        <v>283</v>
      </c>
      <c r="D32" s="191" t="s">
        <v>299</v>
      </c>
      <c r="E32" s="197" t="s">
        <v>408</v>
      </c>
      <c r="F32" s="194" t="s">
        <v>398</v>
      </c>
      <c r="G32" s="188" t="s">
        <v>409</v>
      </c>
      <c r="H32" s="193" t="s">
        <v>102</v>
      </c>
      <c r="I32" s="193" t="s">
        <v>24</v>
      </c>
      <c r="J32" s="193" t="s">
        <v>23</v>
      </c>
      <c r="K32" s="185" t="str">
        <f>IF(I32="","",VLOOKUP(J32,'Lookup Table (2)'!$O$3:$S$7,MATCH(I32,'Lookup Table (2)'!$O$3:$S$3,0),FALSE))</f>
        <v>Low</v>
      </c>
      <c r="L32" s="169"/>
      <c r="M32" s="169"/>
      <c r="N32" s="169"/>
      <c r="O32" s="185" t="str">
        <f t="shared" si="0"/>
        <v>Low</v>
      </c>
      <c r="P32" s="134" t="str">
        <f t="shared" si="1"/>
        <v/>
      </c>
      <c r="Q32" s="134" t="e">
        <f>IF(#REF!="","",$B$5)</f>
        <v>#REF!</v>
      </c>
      <c r="R32" s="134" t="e">
        <f>IF(#REF!="","",$B$6)</f>
        <v>#REF!</v>
      </c>
      <c r="S32" s="134" t="e">
        <f>IF(#REF!="","",$B$7)</f>
        <v>#REF!</v>
      </c>
      <c r="T32" s="134" t="e">
        <f>IF(#REF!="","",$B$8)</f>
        <v>#REF!</v>
      </c>
      <c r="U32" s="135" t="e">
        <f>IF(#REF!="","",$B$9)</f>
        <v>#REF!</v>
      </c>
      <c r="V32" s="136" t="str">
        <f>IF($B$10="","",$B$10)</f>
        <v/>
      </c>
      <c r="W32" s="134"/>
      <c r="X32" s="134"/>
      <c r="Y32" s="134"/>
      <c r="Z32" s="134"/>
      <c r="AA32" s="134">
        <f>$AV32</f>
        <v>0</v>
      </c>
      <c r="AB32" s="134" t="str">
        <f>IF($AW32="","",$AW32)</f>
        <v/>
      </c>
      <c r="AC32" s="134"/>
      <c r="AD32" s="134"/>
      <c r="AE32" s="104"/>
      <c r="AF32" s="104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</row>
    <row r="33" spans="1:44" s="8" customFormat="1" ht="28.8">
      <c r="A33" s="195">
        <v>13</v>
      </c>
      <c r="B33" s="197" t="s">
        <v>406</v>
      </c>
      <c r="C33" s="191" t="s">
        <v>283</v>
      </c>
      <c r="D33" s="191" t="s">
        <v>299</v>
      </c>
      <c r="E33" s="197" t="s">
        <v>408</v>
      </c>
      <c r="F33" s="194" t="s">
        <v>398</v>
      </c>
      <c r="G33" s="188" t="s">
        <v>409</v>
      </c>
      <c r="H33" s="193" t="s">
        <v>102</v>
      </c>
      <c r="I33" s="193" t="s">
        <v>24</v>
      </c>
      <c r="J33" s="193" t="s">
        <v>23</v>
      </c>
      <c r="K33" s="185" t="str">
        <f>IF(I33="","",VLOOKUP(J33,'Lookup Table (2)'!$O$3:$S$7,MATCH(I33,'Lookup Table (2)'!$O$3:$S$3,0),FALSE))</f>
        <v>Low</v>
      </c>
      <c r="L33" s="169"/>
      <c r="M33" s="169"/>
      <c r="N33" s="169"/>
      <c r="O33" s="185" t="str">
        <f t="shared" si="0"/>
        <v>Low</v>
      </c>
      <c r="P33" s="134" t="str">
        <f t="shared" si="1"/>
        <v/>
      </c>
      <c r="Q33" s="134" t="e">
        <f>IF(#REF!="","",$B$5)</f>
        <v>#REF!</v>
      </c>
      <c r="R33" s="134" t="e">
        <f>IF(#REF!="","",$B$6)</f>
        <v>#REF!</v>
      </c>
      <c r="S33" s="134" t="e">
        <f>IF(#REF!="","",$B$7)</f>
        <v>#REF!</v>
      </c>
      <c r="T33" s="134" t="e">
        <f>IF(#REF!="","",$B$8)</f>
        <v>#REF!</v>
      </c>
      <c r="U33" s="135" t="e">
        <f>IF(#REF!="","",$B$9)</f>
        <v>#REF!</v>
      </c>
      <c r="V33" s="136" t="str">
        <f>IF($B$10="","",$B$10)</f>
        <v/>
      </c>
      <c r="W33" s="134"/>
      <c r="X33" s="134"/>
      <c r="Y33" s="134"/>
      <c r="Z33" s="134"/>
      <c r="AA33" s="134">
        <f>$AV33</f>
        <v>0</v>
      </c>
      <c r="AB33" s="134" t="str">
        <f>IF($AW33="","",$AW33)</f>
        <v/>
      </c>
      <c r="AC33" s="134"/>
      <c r="AD33" s="134"/>
      <c r="AE33" s="104"/>
      <c r="AF33" s="104"/>
      <c r="AG33" s="98"/>
      <c r="AH33" s="98"/>
      <c r="AI33" s="98"/>
      <c r="AN33" s="98"/>
      <c r="AO33" s="98"/>
      <c r="AP33" s="98"/>
      <c r="AQ33" s="98"/>
      <c r="AR33" s="98"/>
    </row>
    <row r="34" spans="1:44" s="8" customFormat="1" ht="28.8">
      <c r="A34" s="195">
        <v>14</v>
      </c>
      <c r="B34" s="197" t="s">
        <v>407</v>
      </c>
      <c r="C34" s="191" t="s">
        <v>283</v>
      </c>
      <c r="D34" s="191" t="s">
        <v>299</v>
      </c>
      <c r="E34" s="197" t="s">
        <v>408</v>
      </c>
      <c r="F34" s="194" t="s">
        <v>398</v>
      </c>
      <c r="G34" s="188" t="s">
        <v>409</v>
      </c>
      <c r="H34" s="193" t="s">
        <v>102</v>
      </c>
      <c r="I34" s="193" t="s">
        <v>24</v>
      </c>
      <c r="J34" s="193" t="s">
        <v>23</v>
      </c>
      <c r="K34" s="185" t="str">
        <f>IF(I34="","",VLOOKUP(J34,'Lookup Table (2)'!$O$3:$S$7,MATCH(I34,'Lookup Table (2)'!$O$3:$S$3,0),FALSE))</f>
        <v>Low</v>
      </c>
      <c r="L34" s="169"/>
      <c r="M34" s="169"/>
      <c r="N34" s="169"/>
      <c r="O34" s="185" t="str">
        <f t="shared" si="0"/>
        <v>Low</v>
      </c>
      <c r="P34" s="134" t="str">
        <f t="shared" si="1"/>
        <v/>
      </c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99"/>
      <c r="AF34" s="99"/>
      <c r="AG34" s="98"/>
      <c r="AH34" s="103"/>
      <c r="AI34" s="103"/>
      <c r="AJ34" s="103"/>
      <c r="AK34" s="103"/>
      <c r="AL34" s="103"/>
      <c r="AM34" s="103"/>
      <c r="AN34" s="103"/>
      <c r="AO34" s="103"/>
      <c r="AP34" s="103"/>
      <c r="AQ34" s="103"/>
      <c r="AR34" s="103"/>
    </row>
    <row r="35" spans="1:44" s="8" customFormat="1" ht="57.6">
      <c r="A35" s="195">
        <v>15</v>
      </c>
      <c r="B35" s="197" t="s">
        <v>483</v>
      </c>
      <c r="C35" s="191" t="s">
        <v>283</v>
      </c>
      <c r="D35" s="191" t="s">
        <v>299</v>
      </c>
      <c r="E35" s="197" t="s">
        <v>408</v>
      </c>
      <c r="F35" s="194" t="s">
        <v>398</v>
      </c>
      <c r="G35" s="188" t="s">
        <v>409</v>
      </c>
      <c r="H35" s="193" t="s">
        <v>102</v>
      </c>
      <c r="I35" s="193" t="s">
        <v>24</v>
      </c>
      <c r="J35" s="193" t="s">
        <v>23</v>
      </c>
      <c r="K35" s="185"/>
      <c r="L35" s="169"/>
      <c r="M35" s="169"/>
      <c r="N35" s="169"/>
      <c r="O35" s="185">
        <f t="shared" si="0"/>
        <v>0</v>
      </c>
      <c r="P35" s="134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99"/>
      <c r="AF35" s="99"/>
      <c r="AG35" s="98"/>
      <c r="AH35" s="103"/>
      <c r="AI35" s="103"/>
      <c r="AJ35" s="103"/>
      <c r="AK35" s="103"/>
      <c r="AL35" s="103"/>
      <c r="AM35" s="103"/>
      <c r="AN35" s="103"/>
      <c r="AO35" s="103"/>
      <c r="AP35" s="103"/>
      <c r="AQ35" s="103"/>
      <c r="AR35" s="103"/>
    </row>
    <row r="36" spans="1:44" s="8" customFormat="1" ht="57.6">
      <c r="A36" s="195">
        <v>16</v>
      </c>
      <c r="B36" s="197" t="s">
        <v>410</v>
      </c>
      <c r="C36" s="191" t="s">
        <v>261</v>
      </c>
      <c r="D36" s="191" t="s">
        <v>360</v>
      </c>
      <c r="E36" s="197" t="s">
        <v>424</v>
      </c>
      <c r="F36" s="194" t="s">
        <v>425</v>
      </c>
      <c r="G36" s="188" t="s">
        <v>426</v>
      </c>
      <c r="H36" s="193" t="s">
        <v>102</v>
      </c>
      <c r="I36" s="193" t="s">
        <v>24</v>
      </c>
      <c r="J36" s="193" t="s">
        <v>23</v>
      </c>
      <c r="K36" s="185" t="str">
        <f>IF(I36="","",VLOOKUP(J36,'Lookup Table (2)'!$O$3:$S$7,MATCH(I36,'Lookup Table (2)'!$O$3:$S$3,0),FALSE))</f>
        <v>Low</v>
      </c>
      <c r="L36" s="169"/>
      <c r="M36" s="169"/>
      <c r="N36" s="169"/>
      <c r="O36" s="185" t="str">
        <f t="shared" si="0"/>
        <v>Low</v>
      </c>
      <c r="P36" s="134" t="str">
        <f t="shared" si="1"/>
        <v/>
      </c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99"/>
      <c r="AF36" s="99"/>
      <c r="AG36" s="98"/>
      <c r="AH36" s="103"/>
      <c r="AI36" s="103"/>
      <c r="AO36" s="103"/>
      <c r="AP36" s="103"/>
      <c r="AQ36" s="103"/>
      <c r="AR36" s="103"/>
    </row>
    <row r="37" spans="1:44" s="8" customFormat="1" ht="57.6">
      <c r="A37" s="195">
        <v>17</v>
      </c>
      <c r="B37" s="197" t="s">
        <v>411</v>
      </c>
      <c r="C37" s="191" t="s">
        <v>261</v>
      </c>
      <c r="D37" s="191" t="s">
        <v>360</v>
      </c>
      <c r="E37" s="197" t="s">
        <v>424</v>
      </c>
      <c r="F37" s="194" t="s">
        <v>425</v>
      </c>
      <c r="G37" s="188" t="s">
        <v>426</v>
      </c>
      <c r="H37" s="193" t="s">
        <v>102</v>
      </c>
      <c r="I37" s="193" t="s">
        <v>24</v>
      </c>
      <c r="J37" s="193" t="s">
        <v>23</v>
      </c>
      <c r="K37" s="185" t="str">
        <f>IF(I37="","",VLOOKUP(J37,'Lookup Table (2)'!$O$3:$S$7,MATCH(I37,'Lookup Table (2)'!$O$3:$S$3,0),FALSE))</f>
        <v>Low</v>
      </c>
      <c r="L37" s="169"/>
      <c r="M37" s="169"/>
      <c r="N37" s="169"/>
      <c r="O37" s="185" t="str">
        <f t="shared" si="0"/>
        <v>Low</v>
      </c>
      <c r="P37" s="134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99"/>
      <c r="AF37" s="99"/>
      <c r="AG37" s="98"/>
      <c r="AH37" s="103"/>
      <c r="AI37" s="103"/>
      <c r="AO37" s="103"/>
      <c r="AP37" s="103"/>
      <c r="AQ37" s="103"/>
      <c r="AR37" s="103"/>
    </row>
    <row r="38" spans="1:44" s="8" customFormat="1" ht="28.8">
      <c r="A38" s="195">
        <v>18</v>
      </c>
      <c r="B38" s="197" t="s">
        <v>412</v>
      </c>
      <c r="C38" s="191" t="s">
        <v>283</v>
      </c>
      <c r="D38" s="191" t="s">
        <v>299</v>
      </c>
      <c r="E38" s="197" t="s">
        <v>408</v>
      </c>
      <c r="F38" s="194" t="s">
        <v>398</v>
      </c>
      <c r="G38" s="188" t="s">
        <v>409</v>
      </c>
      <c r="H38" s="193" t="s">
        <v>102</v>
      </c>
      <c r="I38" s="193" t="s">
        <v>24</v>
      </c>
      <c r="J38" s="193" t="s">
        <v>23</v>
      </c>
      <c r="K38" s="185" t="str">
        <f>IF(I38="","",VLOOKUP(J38,'Lookup Table (2)'!$O$3:$S$7,MATCH(I38,'Lookup Table (2)'!$O$3:$S$3,0),FALSE))</f>
        <v>Low</v>
      </c>
      <c r="L38" s="169"/>
      <c r="M38" s="169"/>
      <c r="N38" s="169"/>
      <c r="O38" s="185" t="str">
        <f t="shared" si="0"/>
        <v>Low</v>
      </c>
      <c r="P38" s="134" t="str">
        <f t="shared" si="1"/>
        <v/>
      </c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99"/>
      <c r="AF38" s="99"/>
      <c r="AG38" s="99"/>
      <c r="AH38" s="99"/>
      <c r="AI38" s="99"/>
      <c r="AO38" s="99"/>
      <c r="AP38" s="99"/>
      <c r="AQ38" s="99"/>
      <c r="AR38" s="99"/>
    </row>
    <row r="39" spans="1:44" s="8" customFormat="1" ht="28.8">
      <c r="A39" s="195">
        <v>19</v>
      </c>
      <c r="B39" s="197" t="s">
        <v>413</v>
      </c>
      <c r="C39" s="191" t="s">
        <v>283</v>
      </c>
      <c r="D39" s="191" t="s">
        <v>299</v>
      </c>
      <c r="E39" s="197" t="s">
        <v>408</v>
      </c>
      <c r="F39" s="194" t="s">
        <v>398</v>
      </c>
      <c r="G39" s="188" t="s">
        <v>409</v>
      </c>
      <c r="H39" s="193" t="s">
        <v>102</v>
      </c>
      <c r="I39" s="193" t="s">
        <v>24</v>
      </c>
      <c r="J39" s="193" t="s">
        <v>23</v>
      </c>
      <c r="K39" s="185" t="str">
        <f>IF(I39="","",VLOOKUP(J39,'Lookup Table (2)'!$O$3:$S$7,MATCH(I39,'Lookup Table (2)'!$O$3:$S$3,0),FALSE))</f>
        <v>Low</v>
      </c>
      <c r="L39" s="169"/>
      <c r="M39" s="169"/>
      <c r="N39" s="169"/>
      <c r="O39" s="185" t="str">
        <f t="shared" si="0"/>
        <v>Low</v>
      </c>
      <c r="P39" s="134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99"/>
      <c r="AF39" s="99"/>
      <c r="AG39" s="99"/>
      <c r="AH39" s="99"/>
      <c r="AI39" s="99"/>
      <c r="AO39" s="99"/>
      <c r="AP39" s="99"/>
      <c r="AQ39" s="99"/>
      <c r="AR39" s="99"/>
    </row>
    <row r="40" spans="1:44" s="8" customFormat="1" ht="57.6">
      <c r="A40" s="195">
        <v>20</v>
      </c>
      <c r="B40" s="197" t="s">
        <v>414</v>
      </c>
      <c r="C40" s="191" t="s">
        <v>283</v>
      </c>
      <c r="D40" s="191" t="s">
        <v>299</v>
      </c>
      <c r="E40" s="197" t="s">
        <v>408</v>
      </c>
      <c r="F40" s="194" t="s">
        <v>398</v>
      </c>
      <c r="G40" s="188" t="s">
        <v>409</v>
      </c>
      <c r="H40" s="193" t="s">
        <v>102</v>
      </c>
      <c r="I40" s="193" t="s">
        <v>24</v>
      </c>
      <c r="J40" s="193" t="s">
        <v>23</v>
      </c>
      <c r="K40" s="185" t="str">
        <f>IF(I40="","",VLOOKUP(J40,'Lookup Table (2)'!$O$3:$S$7,MATCH(I40,'Lookup Table (2)'!$O$3:$S$3,0),FALSE))</f>
        <v>Low</v>
      </c>
      <c r="L40" s="169"/>
      <c r="M40" s="169"/>
      <c r="N40" s="169"/>
      <c r="O40" s="185" t="str">
        <f t="shared" si="0"/>
        <v>Low</v>
      </c>
      <c r="P40" s="134" t="str">
        <f t="shared" si="1"/>
        <v/>
      </c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99"/>
      <c r="AF40" s="99"/>
      <c r="AG40" s="99"/>
      <c r="AH40" s="99"/>
      <c r="AI40" s="99"/>
      <c r="AO40" s="99"/>
      <c r="AP40" s="99"/>
      <c r="AQ40" s="99"/>
      <c r="AR40" s="99"/>
    </row>
    <row r="41" spans="1:44" s="8" customFormat="1" ht="28.8">
      <c r="A41" s="195">
        <v>21</v>
      </c>
      <c r="B41" s="197" t="s">
        <v>415</v>
      </c>
      <c r="C41" s="191" t="s">
        <v>283</v>
      </c>
      <c r="D41" s="191" t="s">
        <v>299</v>
      </c>
      <c r="E41" s="197" t="s">
        <v>408</v>
      </c>
      <c r="F41" s="194" t="s">
        <v>398</v>
      </c>
      <c r="G41" s="188" t="s">
        <v>409</v>
      </c>
      <c r="H41" s="193" t="s">
        <v>102</v>
      </c>
      <c r="I41" s="193" t="s">
        <v>24</v>
      </c>
      <c r="J41" s="193" t="s">
        <v>23</v>
      </c>
      <c r="K41" s="185" t="str">
        <f>IF(I41="","",VLOOKUP(J41,'Lookup Table (2)'!$O$3:$S$7,MATCH(I41,'Lookup Table (2)'!$O$3:$S$3,0),FALSE))</f>
        <v>Low</v>
      </c>
      <c r="L41" s="169"/>
      <c r="M41" s="169"/>
      <c r="N41" s="169"/>
      <c r="O41" s="185" t="str">
        <f t="shared" si="0"/>
        <v>Low</v>
      </c>
      <c r="P41" s="134" t="str">
        <f t="shared" si="1"/>
        <v/>
      </c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99"/>
      <c r="AF41" s="99"/>
      <c r="AG41" s="99"/>
      <c r="AH41" s="99"/>
      <c r="AI41" s="99"/>
      <c r="AO41" s="99"/>
      <c r="AP41" s="99"/>
      <c r="AQ41" s="99"/>
      <c r="AR41" s="99"/>
    </row>
    <row r="42" spans="1:44" s="8" customFormat="1" ht="57.6">
      <c r="A42" s="195">
        <v>22</v>
      </c>
      <c r="B42" s="197" t="s">
        <v>416</v>
      </c>
      <c r="C42" s="191" t="s">
        <v>283</v>
      </c>
      <c r="D42" s="191" t="s">
        <v>299</v>
      </c>
      <c r="E42" s="197" t="s">
        <v>408</v>
      </c>
      <c r="F42" s="194" t="s">
        <v>398</v>
      </c>
      <c r="G42" s="188" t="s">
        <v>409</v>
      </c>
      <c r="H42" s="193" t="s">
        <v>102</v>
      </c>
      <c r="I42" s="193" t="s">
        <v>24</v>
      </c>
      <c r="J42" s="193" t="s">
        <v>23</v>
      </c>
      <c r="K42" s="185" t="str">
        <f>IF(I42="","",VLOOKUP(J42,'Lookup Table (2)'!$O$3:$S$7,MATCH(I42,'Lookup Table (2)'!$O$3:$S$3,0),FALSE))</f>
        <v>Low</v>
      </c>
      <c r="L42" s="169"/>
      <c r="M42" s="169"/>
      <c r="N42" s="169"/>
      <c r="O42" s="185" t="str">
        <f t="shared" si="0"/>
        <v>Low</v>
      </c>
      <c r="P42" s="134" t="str">
        <f t="shared" si="1"/>
        <v/>
      </c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</row>
    <row r="43" spans="1:44" s="8" customFormat="1" ht="30" customHeight="1">
      <c r="A43" s="195">
        <v>23</v>
      </c>
      <c r="B43" s="197" t="s">
        <v>417</v>
      </c>
      <c r="C43" s="191" t="s">
        <v>283</v>
      </c>
      <c r="D43" s="191" t="s">
        <v>299</v>
      </c>
      <c r="E43" s="197" t="s">
        <v>408</v>
      </c>
      <c r="F43" s="194" t="s">
        <v>398</v>
      </c>
      <c r="G43" s="188" t="s">
        <v>409</v>
      </c>
      <c r="H43" s="193" t="s">
        <v>102</v>
      </c>
      <c r="I43" s="193" t="s">
        <v>24</v>
      </c>
      <c r="J43" s="193" t="s">
        <v>23</v>
      </c>
      <c r="K43" s="185" t="str">
        <f>IF(I43="","",VLOOKUP(J43,'Lookup Table (2)'!$O$3:$S$7,MATCH(I43,'Lookup Table (2)'!$O$3:$S$3,0),FALSE))</f>
        <v>Low</v>
      </c>
      <c r="L43" s="169"/>
      <c r="M43" s="169"/>
      <c r="N43" s="169"/>
      <c r="O43" s="185" t="str">
        <f t="shared" si="0"/>
        <v>Low</v>
      </c>
      <c r="P43" s="134" t="str">
        <f t="shared" si="1"/>
        <v/>
      </c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99"/>
      <c r="AF43" s="99"/>
      <c r="AG43" s="99"/>
      <c r="AH43" s="99"/>
      <c r="AI43" s="99"/>
      <c r="AJ43" s="99"/>
      <c r="AK43" s="99"/>
      <c r="AL43" s="99"/>
      <c r="AM43" s="99"/>
      <c r="AN43" s="99"/>
      <c r="AO43" s="99"/>
      <c r="AP43" s="99"/>
      <c r="AQ43" s="99"/>
      <c r="AR43" s="99"/>
    </row>
    <row r="44" spans="1:44" s="8" customFormat="1" ht="57.6">
      <c r="A44" s="195">
        <v>24</v>
      </c>
      <c r="B44" s="197" t="s">
        <v>418</v>
      </c>
      <c r="C44" s="191" t="s">
        <v>283</v>
      </c>
      <c r="D44" s="191" t="s">
        <v>299</v>
      </c>
      <c r="E44" s="197" t="s">
        <v>408</v>
      </c>
      <c r="F44" s="194" t="s">
        <v>398</v>
      </c>
      <c r="G44" s="188" t="s">
        <v>409</v>
      </c>
      <c r="H44" s="193" t="s">
        <v>102</v>
      </c>
      <c r="I44" s="193" t="s">
        <v>24</v>
      </c>
      <c r="J44" s="193" t="s">
        <v>23</v>
      </c>
      <c r="K44" s="185" t="str">
        <f>IF(I44="","",VLOOKUP(J44,'Lookup Table (2)'!$O$3:$S$7,MATCH(I44,'Lookup Table (2)'!$O$3:$S$3,0),FALSE))</f>
        <v>Low</v>
      </c>
      <c r="L44" s="169"/>
      <c r="M44" s="169"/>
      <c r="N44" s="169"/>
      <c r="O44" s="185" t="str">
        <f t="shared" si="0"/>
        <v>Low</v>
      </c>
      <c r="P44" s="134" t="str">
        <f t="shared" si="1"/>
        <v/>
      </c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</row>
    <row r="45" spans="1:44" s="8" customFormat="1" ht="28.8">
      <c r="A45" s="195">
        <v>25</v>
      </c>
      <c r="B45" s="197" t="s">
        <v>419</v>
      </c>
      <c r="C45" s="191" t="s">
        <v>283</v>
      </c>
      <c r="D45" s="191" t="s">
        <v>299</v>
      </c>
      <c r="E45" s="197" t="s">
        <v>408</v>
      </c>
      <c r="F45" s="194" t="s">
        <v>398</v>
      </c>
      <c r="G45" s="188" t="s">
        <v>409</v>
      </c>
      <c r="H45" s="193" t="s">
        <v>102</v>
      </c>
      <c r="I45" s="193" t="s">
        <v>24</v>
      </c>
      <c r="J45" s="193" t="s">
        <v>23</v>
      </c>
      <c r="K45" s="185" t="str">
        <f>IF(I45="","",VLOOKUP(J45,'Lookup Table (2)'!$O$3:$S$7,MATCH(I45,'Lookup Table (2)'!$O$3:$S$3,0),FALSE))</f>
        <v>Low</v>
      </c>
      <c r="L45" s="169"/>
      <c r="M45" s="169"/>
      <c r="N45" s="169"/>
      <c r="O45" s="185" t="str">
        <f t="shared" si="0"/>
        <v>Low</v>
      </c>
      <c r="P45" s="134" t="str">
        <f t="shared" si="1"/>
        <v/>
      </c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</row>
    <row r="46" spans="1:44" s="8" customFormat="1" ht="57.6">
      <c r="A46" s="195">
        <v>26</v>
      </c>
      <c r="B46" s="197" t="s">
        <v>420</v>
      </c>
      <c r="C46" s="191" t="s">
        <v>283</v>
      </c>
      <c r="D46" s="191" t="s">
        <v>299</v>
      </c>
      <c r="E46" s="197" t="s">
        <v>408</v>
      </c>
      <c r="F46" s="194" t="s">
        <v>398</v>
      </c>
      <c r="G46" s="188" t="s">
        <v>409</v>
      </c>
      <c r="H46" s="193" t="s">
        <v>102</v>
      </c>
      <c r="I46" s="193" t="s">
        <v>24</v>
      </c>
      <c r="J46" s="193" t="s">
        <v>23</v>
      </c>
      <c r="K46" s="185" t="str">
        <f>IF(I46="","",VLOOKUP(J46,'Lookup Table (2)'!$O$3:$S$7,MATCH(I46,'Lookup Table (2)'!$O$3:$S$3,0),FALSE))</f>
        <v>Low</v>
      </c>
      <c r="L46" s="169"/>
      <c r="M46" s="169"/>
      <c r="N46" s="169"/>
      <c r="O46" s="185" t="str">
        <f t="shared" si="0"/>
        <v>Low</v>
      </c>
      <c r="P46" s="134" t="str">
        <f t="shared" si="1"/>
        <v/>
      </c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</row>
    <row r="47" spans="1:44" s="8" customFormat="1" ht="30" customHeight="1">
      <c r="A47" s="195">
        <v>27</v>
      </c>
      <c r="B47" s="197" t="s">
        <v>421</v>
      </c>
      <c r="C47" s="191" t="s">
        <v>283</v>
      </c>
      <c r="D47" s="191" t="s">
        <v>299</v>
      </c>
      <c r="E47" s="197" t="s">
        <v>408</v>
      </c>
      <c r="F47" s="194" t="s">
        <v>398</v>
      </c>
      <c r="G47" s="188" t="s">
        <v>409</v>
      </c>
      <c r="H47" s="193" t="s">
        <v>102</v>
      </c>
      <c r="I47" s="193" t="s">
        <v>24</v>
      </c>
      <c r="J47" s="193" t="s">
        <v>23</v>
      </c>
      <c r="K47" s="185" t="str">
        <f>IF(I47="","",VLOOKUP(J47,'Lookup Table (2)'!$O$3:$S$7,MATCH(I47,'Lookup Table (2)'!$O$3:$S$3,0),FALSE))</f>
        <v>Low</v>
      </c>
      <c r="L47" s="169"/>
      <c r="M47" s="169"/>
      <c r="N47" s="169"/>
      <c r="O47" s="185" t="str">
        <f t="shared" si="0"/>
        <v>Low</v>
      </c>
      <c r="P47" s="134" t="str">
        <f t="shared" ref="P47:P50" si="5">IF(K47="","",_xlfn.IFNA(VLOOKUP($K47,$AZ$4:$BA$8,2,FALSE)*VLOOKUP($M47,$AX$4:$AY$8,2,FALSE),""))</f>
        <v/>
      </c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99"/>
      <c r="AF47" s="99"/>
      <c r="AG47" s="99"/>
      <c r="AH47" s="99"/>
      <c r="AI47" s="99"/>
      <c r="AJ47" s="99"/>
      <c r="AK47" s="99"/>
      <c r="AL47" s="99"/>
      <c r="AM47" s="99"/>
      <c r="AN47" s="99"/>
      <c r="AO47" s="99"/>
      <c r="AP47" s="99"/>
      <c r="AQ47" s="99"/>
      <c r="AR47" s="99"/>
    </row>
    <row r="48" spans="1:44" s="8" customFormat="1" ht="30" customHeight="1">
      <c r="A48" s="195">
        <v>28</v>
      </c>
      <c r="B48" s="197" t="s">
        <v>422</v>
      </c>
      <c r="C48" s="191" t="s">
        <v>283</v>
      </c>
      <c r="D48" s="191" t="s">
        <v>299</v>
      </c>
      <c r="E48" s="197" t="s">
        <v>408</v>
      </c>
      <c r="F48" s="194" t="s">
        <v>398</v>
      </c>
      <c r="G48" s="188" t="s">
        <v>409</v>
      </c>
      <c r="H48" s="193" t="s">
        <v>102</v>
      </c>
      <c r="I48" s="193" t="s">
        <v>24</v>
      </c>
      <c r="J48" s="193" t="s">
        <v>23</v>
      </c>
      <c r="K48" s="185" t="str">
        <f>IF(I48="","",VLOOKUP(J48,'Lookup Table (2)'!$O$3:$S$7,MATCH(I48,'Lookup Table (2)'!$O$3:$S$3,0),FALSE))</f>
        <v>Low</v>
      </c>
      <c r="L48" s="169"/>
      <c r="M48" s="169"/>
      <c r="N48" s="169"/>
      <c r="O48" s="185" t="str">
        <f t="shared" si="0"/>
        <v>Low</v>
      </c>
      <c r="P48" s="134" t="str">
        <f t="shared" si="5"/>
        <v/>
      </c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99"/>
      <c r="AQ48" s="99"/>
      <c r="AR48" s="99"/>
    </row>
    <row r="49" spans="1:44" s="8" customFormat="1" ht="86.4">
      <c r="A49" s="195">
        <v>29</v>
      </c>
      <c r="B49" s="197" t="s">
        <v>423</v>
      </c>
      <c r="C49" s="191" t="s">
        <v>261</v>
      </c>
      <c r="D49" s="191" t="s">
        <v>360</v>
      </c>
      <c r="E49" s="197" t="s">
        <v>424</v>
      </c>
      <c r="F49" s="197" t="s">
        <v>430</v>
      </c>
      <c r="G49" s="188" t="s">
        <v>426</v>
      </c>
      <c r="H49" s="193" t="s">
        <v>102</v>
      </c>
      <c r="I49" s="193" t="s">
        <v>24</v>
      </c>
      <c r="J49" s="193" t="s">
        <v>23</v>
      </c>
      <c r="K49" s="185" t="str">
        <f>IF(I49="","",VLOOKUP(J49,'Lookup Table (2)'!$O$3:$S$7,MATCH(I49,'Lookup Table (2)'!$O$3:$S$3,0),FALSE))</f>
        <v>Low</v>
      </c>
      <c r="L49" s="169"/>
      <c r="M49" s="169"/>
      <c r="N49" s="169"/>
      <c r="O49" s="185" t="str">
        <f t="shared" si="0"/>
        <v>Low</v>
      </c>
      <c r="P49" s="134" t="str">
        <f t="shared" si="5"/>
        <v/>
      </c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99"/>
      <c r="AF49" s="99"/>
      <c r="AG49" s="99"/>
      <c r="AH49" s="99"/>
      <c r="AI49" s="99"/>
      <c r="AJ49" s="99"/>
      <c r="AK49" s="99"/>
      <c r="AL49" s="99"/>
      <c r="AM49" s="99"/>
      <c r="AN49" s="99"/>
      <c r="AO49" s="99"/>
      <c r="AP49" s="99"/>
      <c r="AQ49" s="99"/>
      <c r="AR49" s="99"/>
    </row>
    <row r="50" spans="1:44" s="8" customFormat="1" ht="86.4">
      <c r="A50" s="195">
        <v>30</v>
      </c>
      <c r="B50" s="197" t="s">
        <v>457</v>
      </c>
      <c r="C50" s="191" t="s">
        <v>261</v>
      </c>
      <c r="D50" s="191" t="s">
        <v>360</v>
      </c>
      <c r="E50" s="197" t="s">
        <v>424</v>
      </c>
      <c r="F50" s="197" t="s">
        <v>430</v>
      </c>
      <c r="G50" s="188" t="s">
        <v>426</v>
      </c>
      <c r="H50" s="193" t="s">
        <v>102</v>
      </c>
      <c r="I50" s="193" t="s">
        <v>24</v>
      </c>
      <c r="J50" s="193" t="s">
        <v>23</v>
      </c>
      <c r="K50" s="185" t="str">
        <f>IF(I50="","",VLOOKUP(J50,'Lookup Table (2)'!$O$3:$S$7,MATCH(I50,'Lookup Table (2)'!$O$3:$S$3,0),FALSE))</f>
        <v>Low</v>
      </c>
      <c r="L50" s="169"/>
      <c r="M50" s="169"/>
      <c r="N50" s="169"/>
      <c r="O50" s="185" t="str">
        <f t="shared" si="0"/>
        <v>Low</v>
      </c>
      <c r="P50" s="134" t="str">
        <f t="shared" si="5"/>
        <v/>
      </c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99"/>
      <c r="AR50" s="99"/>
    </row>
    <row r="51" spans="1:44" s="8" customFormat="1" ht="28.8">
      <c r="A51" s="195">
        <v>31</v>
      </c>
      <c r="B51" s="197" t="s">
        <v>482</v>
      </c>
      <c r="C51" s="191" t="s">
        <v>283</v>
      </c>
      <c r="D51" s="191" t="s">
        <v>299</v>
      </c>
      <c r="E51" s="197" t="s">
        <v>408</v>
      </c>
      <c r="F51" s="194" t="s">
        <v>398</v>
      </c>
      <c r="G51" s="188" t="s">
        <v>409</v>
      </c>
      <c r="H51" s="193" t="s">
        <v>102</v>
      </c>
      <c r="I51" s="193" t="s">
        <v>24</v>
      </c>
      <c r="J51" s="193" t="s">
        <v>23</v>
      </c>
      <c r="K51" s="185" t="str">
        <f>IF(I51="","",VLOOKUP(J51,'Lookup Table (2)'!$O$3:$S$7,MATCH(I51,'Lookup Table (2)'!$O$3:$S$3,0),FALSE))</f>
        <v>Low</v>
      </c>
      <c r="L51" s="169"/>
      <c r="M51" s="169"/>
      <c r="N51" s="169"/>
      <c r="O51" s="185" t="str">
        <f t="shared" si="0"/>
        <v>Low</v>
      </c>
      <c r="P51" s="134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99"/>
      <c r="AF51" s="99"/>
      <c r="AG51" s="99"/>
      <c r="AH51" s="99"/>
      <c r="AI51" s="99"/>
      <c r="AJ51" s="99"/>
      <c r="AK51" s="99"/>
      <c r="AL51" s="99"/>
      <c r="AM51" s="99"/>
      <c r="AN51" s="99"/>
      <c r="AO51" s="99"/>
      <c r="AP51" s="99"/>
      <c r="AQ51" s="99"/>
      <c r="AR51" s="99"/>
    </row>
    <row r="52" spans="1:44" s="8" customFormat="1" ht="30" customHeight="1">
      <c r="A52" s="195">
        <v>32</v>
      </c>
      <c r="B52" s="197" t="s">
        <v>432</v>
      </c>
      <c r="C52" s="191" t="s">
        <v>283</v>
      </c>
      <c r="D52" s="191" t="s">
        <v>299</v>
      </c>
      <c r="E52" s="197" t="s">
        <v>408</v>
      </c>
      <c r="F52" s="194" t="s">
        <v>398</v>
      </c>
      <c r="G52" s="188" t="s">
        <v>409</v>
      </c>
      <c r="H52" s="193" t="s">
        <v>102</v>
      </c>
      <c r="I52" s="193" t="s">
        <v>24</v>
      </c>
      <c r="J52" s="193" t="s">
        <v>23</v>
      </c>
      <c r="K52" s="185" t="str">
        <f>IF(I52="","",VLOOKUP(J52,'Lookup Table (2)'!$O$3:$S$7,MATCH(I52,'Lookup Table (2)'!$O$3:$S$3,0),FALSE))</f>
        <v>Low</v>
      </c>
      <c r="L52" s="169"/>
      <c r="M52" s="169"/>
      <c r="N52" s="169"/>
      <c r="O52" s="185" t="str">
        <f t="shared" si="0"/>
        <v>Low</v>
      </c>
      <c r="P52" s="134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  <c r="AQ52" s="99"/>
      <c r="AR52" s="99"/>
    </row>
    <row r="53" spans="1:44" s="8" customFormat="1" ht="30" customHeight="1">
      <c r="A53" s="195">
        <v>33</v>
      </c>
      <c r="B53" s="197" t="s">
        <v>431</v>
      </c>
      <c r="C53" s="191" t="s">
        <v>283</v>
      </c>
      <c r="D53" s="191" t="s">
        <v>299</v>
      </c>
      <c r="E53" s="197" t="s">
        <v>408</v>
      </c>
      <c r="F53" s="194" t="s">
        <v>398</v>
      </c>
      <c r="G53" s="188" t="s">
        <v>409</v>
      </c>
      <c r="H53" s="193" t="s">
        <v>102</v>
      </c>
      <c r="I53" s="193" t="s">
        <v>24</v>
      </c>
      <c r="J53" s="193" t="s">
        <v>23</v>
      </c>
      <c r="K53" s="185" t="str">
        <f>IF(I53="","",VLOOKUP(J53,'Lookup Table (2)'!$O$3:$S$7,MATCH(I53,'Lookup Table (2)'!$O$3:$S$3,0),FALSE))</f>
        <v>Low</v>
      </c>
      <c r="L53" s="169"/>
      <c r="M53" s="169"/>
      <c r="N53" s="169"/>
      <c r="O53" s="185" t="str">
        <f t="shared" si="0"/>
        <v>Low</v>
      </c>
      <c r="P53" s="134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  <c r="AQ53" s="99"/>
      <c r="AR53" s="99"/>
    </row>
    <row r="54" spans="1:44" s="8" customFormat="1" ht="30" customHeight="1">
      <c r="A54" s="195">
        <v>34</v>
      </c>
      <c r="B54" s="197" t="s">
        <v>433</v>
      </c>
      <c r="C54" s="191" t="s">
        <v>283</v>
      </c>
      <c r="D54" s="191" t="s">
        <v>299</v>
      </c>
      <c r="E54" s="197" t="s">
        <v>428</v>
      </c>
      <c r="F54" s="197" t="s">
        <v>398</v>
      </c>
      <c r="G54" s="188" t="s">
        <v>409</v>
      </c>
      <c r="H54" s="193" t="s">
        <v>102</v>
      </c>
      <c r="I54" s="193" t="s">
        <v>24</v>
      </c>
      <c r="J54" s="193" t="s">
        <v>23</v>
      </c>
      <c r="K54" s="185" t="str">
        <f>IF(I54="","",VLOOKUP(J54,'Lookup Table (2)'!$O$3:$S$7,MATCH(I54,'Lookup Table (2)'!$O$3:$S$3,0),FALSE))</f>
        <v>Low</v>
      </c>
      <c r="L54" s="169"/>
      <c r="M54" s="169"/>
      <c r="N54" s="169"/>
      <c r="O54" s="185" t="str">
        <f t="shared" si="0"/>
        <v>Low</v>
      </c>
      <c r="P54" s="134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</row>
    <row r="55" spans="1:44" s="8" customFormat="1" ht="57.6">
      <c r="A55" s="195">
        <v>35</v>
      </c>
      <c r="B55" s="197" t="s">
        <v>434</v>
      </c>
      <c r="C55" s="191" t="s">
        <v>287</v>
      </c>
      <c r="D55" s="191" t="s">
        <v>348</v>
      </c>
      <c r="E55" s="197" t="s">
        <v>441</v>
      </c>
      <c r="F55" s="197" t="s">
        <v>373</v>
      </c>
      <c r="G55" s="188" t="s">
        <v>443</v>
      </c>
      <c r="H55" s="193" t="s">
        <v>102</v>
      </c>
      <c r="I55" s="193" t="s">
        <v>24</v>
      </c>
      <c r="J55" s="193" t="s">
        <v>23</v>
      </c>
      <c r="K55" s="185" t="str">
        <f>IF(I55="","",VLOOKUP(J55,'Lookup Table (2)'!$O$3:$S$7,MATCH(I55,'Lookup Table (2)'!$O$3:$S$3,0),FALSE))</f>
        <v>Low</v>
      </c>
      <c r="L55" s="169"/>
      <c r="M55" s="169"/>
      <c r="N55" s="169"/>
      <c r="O55" s="185" t="str">
        <f t="shared" si="0"/>
        <v>Low</v>
      </c>
      <c r="P55" s="134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99"/>
      <c r="AF55" s="99"/>
      <c r="AG55" s="99"/>
      <c r="AH55" s="99"/>
      <c r="AI55" s="99"/>
      <c r="AJ55" s="99"/>
      <c r="AK55" s="99"/>
      <c r="AL55" s="99"/>
      <c r="AM55" s="99"/>
      <c r="AN55" s="99"/>
      <c r="AO55" s="99"/>
      <c r="AP55" s="99"/>
      <c r="AQ55" s="99"/>
      <c r="AR55" s="99"/>
    </row>
    <row r="56" spans="1:44" s="8" customFormat="1" ht="86.4">
      <c r="A56" s="195">
        <v>36</v>
      </c>
      <c r="B56" s="197" t="s">
        <v>435</v>
      </c>
      <c r="C56" s="191"/>
      <c r="D56" s="191"/>
      <c r="E56" s="197" t="s">
        <v>449</v>
      </c>
      <c r="F56" s="197"/>
      <c r="G56" s="188"/>
      <c r="H56" s="193"/>
      <c r="I56" s="193"/>
      <c r="J56" s="193"/>
      <c r="K56" s="185"/>
      <c r="L56" s="169"/>
      <c r="M56" s="169"/>
      <c r="N56" s="169"/>
      <c r="O56" s="185">
        <f t="shared" si="0"/>
        <v>0</v>
      </c>
      <c r="P56" s="134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99"/>
      <c r="AF56" s="99"/>
      <c r="AG56" s="99"/>
      <c r="AH56" s="99"/>
      <c r="AI56" s="99"/>
      <c r="AJ56" s="99"/>
      <c r="AK56" s="99"/>
      <c r="AL56" s="99"/>
      <c r="AM56" s="99"/>
      <c r="AN56" s="99"/>
      <c r="AO56" s="99"/>
      <c r="AP56" s="99"/>
      <c r="AQ56" s="99"/>
      <c r="AR56" s="99"/>
    </row>
    <row r="57" spans="1:44" s="8" customFormat="1" ht="57.6">
      <c r="A57" s="195">
        <v>37</v>
      </c>
      <c r="B57" s="197" t="s">
        <v>436</v>
      </c>
      <c r="C57" s="191"/>
      <c r="D57" s="191"/>
      <c r="E57" s="197" t="s">
        <v>449</v>
      </c>
      <c r="F57" s="197"/>
      <c r="G57" s="188"/>
      <c r="H57" s="193"/>
      <c r="I57" s="193"/>
      <c r="J57" s="193"/>
      <c r="K57" s="185"/>
      <c r="L57" s="169"/>
      <c r="M57" s="169"/>
      <c r="N57" s="169"/>
      <c r="O57" s="185">
        <f t="shared" si="0"/>
        <v>0</v>
      </c>
      <c r="P57" s="134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99"/>
      <c r="AF57" s="99"/>
      <c r="AG57" s="99"/>
      <c r="AH57" s="99"/>
      <c r="AI57" s="99"/>
      <c r="AJ57" s="99"/>
      <c r="AK57" s="99"/>
      <c r="AL57" s="99"/>
      <c r="AM57" s="99"/>
      <c r="AN57" s="99"/>
      <c r="AO57" s="99"/>
      <c r="AP57" s="99"/>
      <c r="AQ57" s="99"/>
      <c r="AR57" s="99"/>
    </row>
    <row r="58" spans="1:44" s="8" customFormat="1" ht="28.8">
      <c r="A58" s="195">
        <v>38</v>
      </c>
      <c r="B58" s="197" t="s">
        <v>484</v>
      </c>
      <c r="C58" s="191" t="s">
        <v>283</v>
      </c>
      <c r="D58" s="191" t="s">
        <v>299</v>
      </c>
      <c r="E58" s="197" t="s">
        <v>408</v>
      </c>
      <c r="F58" s="194" t="s">
        <v>398</v>
      </c>
      <c r="G58" s="188" t="s">
        <v>409</v>
      </c>
      <c r="H58" s="193" t="s">
        <v>102</v>
      </c>
      <c r="I58" s="193" t="s">
        <v>24</v>
      </c>
      <c r="J58" s="193" t="s">
        <v>23</v>
      </c>
      <c r="K58" s="185" t="str">
        <f>IF(I58="","",VLOOKUP(J58,'Lookup Table (2)'!$O$3:$S$7,MATCH(I58,'Lookup Table (2)'!$O$3:$S$3,0),FALSE))</f>
        <v>Low</v>
      </c>
      <c r="L58" s="169"/>
      <c r="M58" s="169"/>
      <c r="N58" s="169"/>
      <c r="O58" s="185" t="str">
        <f t="shared" si="0"/>
        <v>Low</v>
      </c>
      <c r="P58" s="134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99"/>
      <c r="AF58" s="99"/>
      <c r="AG58" s="99"/>
      <c r="AH58" s="99"/>
      <c r="AI58" s="99"/>
      <c r="AJ58" s="99"/>
      <c r="AK58" s="99"/>
      <c r="AL58" s="99"/>
      <c r="AM58" s="99"/>
      <c r="AN58" s="99"/>
      <c r="AO58" s="99"/>
      <c r="AP58" s="99"/>
      <c r="AQ58" s="99"/>
      <c r="AR58" s="99"/>
    </row>
    <row r="59" spans="1:44" s="8" customFormat="1" ht="57.6">
      <c r="A59" s="195">
        <v>39</v>
      </c>
      <c r="B59" s="197" t="s">
        <v>485</v>
      </c>
      <c r="C59" s="191" t="s">
        <v>283</v>
      </c>
      <c r="D59" s="191" t="s">
        <v>299</v>
      </c>
      <c r="E59" s="197" t="s">
        <v>408</v>
      </c>
      <c r="F59" s="194" t="s">
        <v>398</v>
      </c>
      <c r="G59" s="188" t="s">
        <v>409</v>
      </c>
      <c r="H59" s="193" t="s">
        <v>102</v>
      </c>
      <c r="I59" s="193" t="s">
        <v>24</v>
      </c>
      <c r="J59" s="193" t="s">
        <v>23</v>
      </c>
      <c r="K59" s="185" t="str">
        <f>IF(I59="","",VLOOKUP(J59,'Lookup Table (2)'!$O$3:$S$7,MATCH(I59,'Lookup Table (2)'!$O$3:$S$3,0),FALSE))</f>
        <v>Low</v>
      </c>
      <c r="L59" s="169"/>
      <c r="M59" s="169"/>
      <c r="N59" s="169"/>
      <c r="O59" s="185" t="str">
        <f t="shared" si="0"/>
        <v>Low</v>
      </c>
      <c r="P59" s="134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99"/>
      <c r="AF59" s="99"/>
      <c r="AG59" s="99"/>
      <c r="AH59" s="99"/>
      <c r="AI59" s="99"/>
      <c r="AJ59" s="99"/>
      <c r="AK59" s="99"/>
      <c r="AL59" s="99"/>
      <c r="AM59" s="99"/>
      <c r="AN59" s="99"/>
      <c r="AO59" s="99"/>
      <c r="AP59" s="99"/>
      <c r="AQ59" s="99"/>
      <c r="AR59" s="99"/>
    </row>
    <row r="60" spans="1:44" s="8" customFormat="1" ht="30" customHeight="1">
      <c r="A60" s="195">
        <v>40</v>
      </c>
      <c r="B60" s="197" t="s">
        <v>437</v>
      </c>
      <c r="C60" s="191" t="s">
        <v>259</v>
      </c>
      <c r="D60" s="191" t="s">
        <v>302</v>
      </c>
      <c r="E60" s="197" t="s">
        <v>445</v>
      </c>
      <c r="F60" s="197" t="s">
        <v>446</v>
      </c>
      <c r="G60" s="188" t="s">
        <v>447</v>
      </c>
      <c r="H60" s="193" t="s">
        <v>89</v>
      </c>
      <c r="I60" s="193" t="s">
        <v>33</v>
      </c>
      <c r="J60" s="193" t="s">
        <v>23</v>
      </c>
      <c r="K60" s="185" t="str">
        <f>IF(I60="","",VLOOKUP(J60,'Lookup Table (2)'!$O$3:$S$7,MATCH(I60,'Lookup Table (2)'!$O$3:$S$3,0),FALSE))</f>
        <v>Low</v>
      </c>
      <c r="L60" s="169"/>
      <c r="M60" s="169"/>
      <c r="N60" s="169"/>
      <c r="O60" s="185" t="str">
        <f t="shared" si="0"/>
        <v>Low</v>
      </c>
      <c r="P60" s="134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99"/>
      <c r="AF60" s="99"/>
      <c r="AG60" s="99"/>
      <c r="AH60" s="99"/>
      <c r="AI60" s="99"/>
      <c r="AJ60" s="99"/>
      <c r="AK60" s="99"/>
      <c r="AL60" s="99"/>
      <c r="AM60" s="99"/>
      <c r="AN60" s="99"/>
      <c r="AO60" s="99"/>
      <c r="AP60" s="99"/>
      <c r="AQ60" s="99"/>
      <c r="AR60" s="99"/>
    </row>
    <row r="61" spans="1:44" s="8" customFormat="1" ht="30" customHeight="1">
      <c r="A61" s="195">
        <v>41</v>
      </c>
      <c r="B61" s="197" t="s">
        <v>444</v>
      </c>
      <c r="C61" s="191" t="s">
        <v>259</v>
      </c>
      <c r="D61" s="191" t="s">
        <v>302</v>
      </c>
      <c r="E61" s="197" t="s">
        <v>445</v>
      </c>
      <c r="F61" s="197" t="s">
        <v>446</v>
      </c>
      <c r="G61" s="188" t="s">
        <v>447</v>
      </c>
      <c r="H61" s="193" t="s">
        <v>89</v>
      </c>
      <c r="I61" s="193" t="s">
        <v>33</v>
      </c>
      <c r="J61" s="193" t="s">
        <v>23</v>
      </c>
      <c r="K61" s="185" t="str">
        <f>IF(I61="","",VLOOKUP(J61,'Lookup Table (2)'!$O$3:$S$7,MATCH(I61,'Lookup Table (2)'!$O$3:$S$3,0),FALSE))</f>
        <v>Low</v>
      </c>
      <c r="L61" s="169"/>
      <c r="M61" s="169"/>
      <c r="N61" s="169"/>
      <c r="O61" s="185" t="str">
        <f t="shared" si="0"/>
        <v>Low</v>
      </c>
      <c r="P61" s="134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99"/>
      <c r="AF61" s="99"/>
      <c r="AG61" s="99"/>
      <c r="AH61" s="99"/>
      <c r="AI61" s="99"/>
      <c r="AJ61" s="99"/>
      <c r="AK61" s="99"/>
      <c r="AL61" s="99"/>
      <c r="AM61" s="99"/>
      <c r="AN61" s="99"/>
      <c r="AO61" s="99"/>
      <c r="AP61" s="99"/>
      <c r="AQ61" s="99"/>
      <c r="AR61" s="99"/>
    </row>
    <row r="62" spans="1:44" s="8" customFormat="1" ht="57.6">
      <c r="A62" s="195">
        <v>42</v>
      </c>
      <c r="B62" s="197" t="s">
        <v>438</v>
      </c>
      <c r="C62" s="191" t="s">
        <v>259</v>
      </c>
      <c r="D62" s="191" t="s">
        <v>307</v>
      </c>
      <c r="E62" s="197" t="s">
        <v>445</v>
      </c>
      <c r="F62" s="197" t="s">
        <v>446</v>
      </c>
      <c r="G62" s="188" t="s">
        <v>447</v>
      </c>
      <c r="H62" s="193" t="s">
        <v>89</v>
      </c>
      <c r="I62" s="193" t="s">
        <v>33</v>
      </c>
      <c r="J62" s="193" t="s">
        <v>23</v>
      </c>
      <c r="K62" s="185" t="str">
        <f>IF(I62="","",VLOOKUP(J62,'Lookup Table (2)'!$O$3:$S$7,MATCH(I62,'Lookup Table (2)'!$O$3:$S$3,0),FALSE))</f>
        <v>Low</v>
      </c>
      <c r="L62" s="169"/>
      <c r="M62" s="169"/>
      <c r="N62" s="169"/>
      <c r="O62" s="185" t="str">
        <f t="shared" si="0"/>
        <v>Low</v>
      </c>
      <c r="P62" s="134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99"/>
      <c r="AF62" s="99"/>
      <c r="AG62" s="99"/>
      <c r="AH62" s="99"/>
      <c r="AI62" s="99"/>
      <c r="AJ62" s="99"/>
      <c r="AK62" s="99"/>
      <c r="AL62" s="99"/>
      <c r="AM62" s="99"/>
      <c r="AN62" s="99"/>
      <c r="AO62" s="99"/>
      <c r="AP62" s="99"/>
      <c r="AQ62" s="99"/>
      <c r="AR62" s="99"/>
    </row>
    <row r="63" spans="1:44" s="8" customFormat="1" ht="57.6">
      <c r="A63" s="195">
        <v>43</v>
      </c>
      <c r="B63" s="197" t="s">
        <v>439</v>
      </c>
      <c r="C63" s="191" t="s">
        <v>259</v>
      </c>
      <c r="D63" s="191" t="s">
        <v>302</v>
      </c>
      <c r="E63" s="197" t="s">
        <v>445</v>
      </c>
      <c r="F63" s="197" t="s">
        <v>446</v>
      </c>
      <c r="G63" s="188" t="s">
        <v>447</v>
      </c>
      <c r="H63" s="193" t="s">
        <v>89</v>
      </c>
      <c r="I63" s="193" t="s">
        <v>33</v>
      </c>
      <c r="J63" s="193" t="s">
        <v>23</v>
      </c>
      <c r="K63" s="185" t="str">
        <f>IF(I63="","",VLOOKUP(J63,'Lookup Table (2)'!$O$3:$S$7,MATCH(I63,'Lookup Table (2)'!$O$3:$S$3,0),FALSE))</f>
        <v>Low</v>
      </c>
      <c r="L63" s="169"/>
      <c r="M63" s="169"/>
      <c r="N63" s="169"/>
      <c r="O63" s="185" t="str">
        <f t="shared" si="0"/>
        <v>Low</v>
      </c>
      <c r="P63" s="134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99"/>
      <c r="AF63" s="99"/>
      <c r="AG63" s="99"/>
      <c r="AH63" s="99"/>
      <c r="AI63" s="99"/>
      <c r="AJ63" s="99"/>
      <c r="AK63" s="99"/>
      <c r="AL63" s="99"/>
      <c r="AM63" s="99"/>
      <c r="AN63" s="99"/>
      <c r="AO63" s="99"/>
      <c r="AP63" s="99"/>
      <c r="AQ63" s="99"/>
      <c r="AR63" s="99"/>
    </row>
    <row r="64" spans="1:44" s="8" customFormat="1" ht="30" customHeight="1">
      <c r="A64" s="195">
        <v>44</v>
      </c>
      <c r="B64" s="197" t="s">
        <v>440</v>
      </c>
      <c r="C64" s="191" t="s">
        <v>259</v>
      </c>
      <c r="D64" s="191" t="s">
        <v>302</v>
      </c>
      <c r="E64" s="197" t="s">
        <v>442</v>
      </c>
      <c r="F64" s="197" t="s">
        <v>446</v>
      </c>
      <c r="G64" s="188" t="s">
        <v>447</v>
      </c>
      <c r="H64" s="193" t="s">
        <v>89</v>
      </c>
      <c r="I64" s="193" t="s">
        <v>33</v>
      </c>
      <c r="J64" s="193" t="s">
        <v>23</v>
      </c>
      <c r="K64" s="185" t="str">
        <f>IF(I64="","",VLOOKUP(J64,'Lookup Table (2)'!$O$3:$S$7,MATCH(I64,'Lookup Table (2)'!$O$3:$S$3,0),FALSE))</f>
        <v>Low</v>
      </c>
      <c r="L64" s="169"/>
      <c r="M64" s="169"/>
      <c r="N64" s="169"/>
      <c r="O64" s="185" t="str">
        <f t="shared" si="0"/>
        <v>Low</v>
      </c>
      <c r="P64" s="134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99"/>
      <c r="AF64" s="99"/>
      <c r="AG64" s="99"/>
      <c r="AH64" s="99"/>
      <c r="AI64" s="99"/>
      <c r="AJ64" s="99"/>
      <c r="AK64" s="99"/>
      <c r="AL64" s="99"/>
      <c r="AM64" s="99"/>
      <c r="AN64" s="99"/>
      <c r="AO64" s="99"/>
      <c r="AP64" s="99"/>
      <c r="AQ64" s="99"/>
      <c r="AR64" s="99"/>
    </row>
    <row r="65" spans="1:44" s="8" customFormat="1" ht="57.6">
      <c r="A65" s="195">
        <v>45</v>
      </c>
      <c r="B65" s="197" t="s">
        <v>384</v>
      </c>
      <c r="C65" s="191" t="s">
        <v>259</v>
      </c>
      <c r="D65" s="191" t="s">
        <v>307</v>
      </c>
      <c r="E65" s="189" t="s">
        <v>386</v>
      </c>
      <c r="F65" s="190"/>
      <c r="G65" s="188" t="s">
        <v>389</v>
      </c>
      <c r="H65" s="193" t="s">
        <v>89</v>
      </c>
      <c r="I65" s="193" t="s">
        <v>24</v>
      </c>
      <c r="J65" s="193" t="s">
        <v>23</v>
      </c>
      <c r="K65" s="185" t="str">
        <f>IF(I65="","",VLOOKUP(J65,'Lookup Table (2)'!$O$3:$S$7,MATCH(I65,'Lookup Table (2)'!$O$3:$S$3,0),FALSE))</f>
        <v>Low</v>
      </c>
      <c r="L65" s="169"/>
      <c r="M65" s="169"/>
      <c r="N65" s="169"/>
      <c r="O65" s="185" t="str">
        <f t="shared" si="0"/>
        <v>Low</v>
      </c>
      <c r="P65" s="134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</row>
    <row r="66" spans="1:44" s="8" customFormat="1" ht="86.4">
      <c r="A66" s="195">
        <v>46</v>
      </c>
      <c r="B66" s="197" t="s">
        <v>470</v>
      </c>
      <c r="C66" s="191" t="s">
        <v>287</v>
      </c>
      <c r="D66" s="191" t="s">
        <v>348</v>
      </c>
      <c r="E66" s="197" t="s">
        <v>471</v>
      </c>
      <c r="F66" s="197" t="s">
        <v>373</v>
      </c>
      <c r="G66" s="188" t="s">
        <v>443</v>
      </c>
      <c r="H66" s="193" t="s">
        <v>102</v>
      </c>
      <c r="I66" s="193" t="s">
        <v>24</v>
      </c>
      <c r="J66" s="193" t="s">
        <v>23</v>
      </c>
      <c r="K66" s="185" t="str">
        <f>IF(I66="","",VLOOKUP(J66,'Lookup Table (2)'!$O$3:$S$7,MATCH(I66,'Lookup Table (2)'!$O$3:$S$3,0),FALSE))</f>
        <v>Low</v>
      </c>
      <c r="L66" s="169"/>
      <c r="M66" s="169"/>
      <c r="N66" s="169"/>
      <c r="O66" s="185" t="str">
        <f t="shared" si="0"/>
        <v>Low</v>
      </c>
      <c r="P66" s="134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99"/>
      <c r="AP66" s="99"/>
      <c r="AQ66" s="99"/>
      <c r="AR66" s="99"/>
    </row>
    <row r="67" spans="1:44" s="8" customFormat="1" ht="28.8">
      <c r="A67" s="196"/>
      <c r="B67" s="202" t="s">
        <v>472</v>
      </c>
      <c r="C67" s="191"/>
      <c r="D67" s="191"/>
      <c r="E67" s="197"/>
      <c r="F67" s="194"/>
      <c r="G67" s="188"/>
      <c r="H67" s="193"/>
      <c r="I67" s="193"/>
      <c r="J67" s="193"/>
      <c r="K67" s="185"/>
      <c r="L67" s="169"/>
      <c r="M67" s="169"/>
      <c r="N67" s="169"/>
      <c r="O67" s="185">
        <f t="shared" ref="O67:O95" si="6">IF(M67="",K67,IF(P67&lt;=3,"Low",IF(AND(3&lt;P67,P67&lt;6),"Moderate",IF(AND(6&lt;=P67,P67&lt;7),"High",IF(AND(7&lt;=P67,P67&lt;=9),"Critical","Catastrophic")))))</f>
        <v>0</v>
      </c>
      <c r="P67" s="134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99"/>
      <c r="AF67" s="99"/>
      <c r="AG67" s="99"/>
      <c r="AH67" s="99"/>
      <c r="AI67" s="99"/>
      <c r="AJ67" s="99"/>
      <c r="AK67" s="99"/>
      <c r="AL67" s="99"/>
      <c r="AM67" s="99"/>
      <c r="AN67" s="99"/>
      <c r="AO67" s="99"/>
      <c r="AP67" s="99"/>
      <c r="AQ67" s="99"/>
      <c r="AR67" s="99"/>
    </row>
    <row r="68" spans="1:44" s="8" customFormat="1" ht="28.8">
      <c r="A68" s="195">
        <v>1</v>
      </c>
      <c r="B68" s="194" t="s">
        <v>390</v>
      </c>
      <c r="C68" s="191"/>
      <c r="D68" s="191"/>
      <c r="E68" s="189" t="s">
        <v>266</v>
      </c>
      <c r="F68" s="190"/>
      <c r="G68" s="188"/>
      <c r="H68" s="193"/>
      <c r="I68" s="193"/>
      <c r="J68" s="193"/>
      <c r="K68" s="185"/>
      <c r="L68" s="169"/>
      <c r="M68" s="169"/>
      <c r="N68" s="169"/>
      <c r="O68" s="185">
        <f t="shared" si="6"/>
        <v>0</v>
      </c>
      <c r="P68" s="134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99"/>
      <c r="AF68" s="99"/>
      <c r="AG68" s="99"/>
      <c r="AH68" s="99"/>
      <c r="AI68" s="99"/>
      <c r="AJ68" s="99"/>
      <c r="AK68" s="99"/>
      <c r="AL68" s="99"/>
      <c r="AM68" s="99"/>
      <c r="AN68" s="99"/>
      <c r="AO68" s="99"/>
      <c r="AP68" s="99"/>
      <c r="AQ68" s="99"/>
      <c r="AR68" s="99"/>
    </row>
    <row r="69" spans="1:44" s="8" customFormat="1" ht="57.6">
      <c r="A69" s="195">
        <v>2</v>
      </c>
      <c r="B69" s="197" t="s">
        <v>487</v>
      </c>
      <c r="C69" s="191" t="s">
        <v>259</v>
      </c>
      <c r="D69" s="191" t="s">
        <v>307</v>
      </c>
      <c r="E69" s="197" t="s">
        <v>395</v>
      </c>
      <c r="F69" s="197" t="s">
        <v>398</v>
      </c>
      <c r="G69" s="188" t="s">
        <v>409</v>
      </c>
      <c r="H69" s="193" t="s">
        <v>102</v>
      </c>
      <c r="I69" s="193" t="s">
        <v>24</v>
      </c>
      <c r="J69" s="193" t="s">
        <v>23</v>
      </c>
      <c r="K69" s="185" t="str">
        <f>IF(I69="","",VLOOKUP(J69,'Lookup Table (2)'!$O$3:$S$7,MATCH(I69,'Lookup Table (2)'!$O$3:$S$3,0),FALSE))</f>
        <v>Low</v>
      </c>
      <c r="L69" s="169"/>
      <c r="M69" s="169"/>
      <c r="N69" s="169"/>
      <c r="O69" s="185" t="str">
        <f t="shared" si="6"/>
        <v>Low</v>
      </c>
      <c r="P69" s="134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99"/>
      <c r="AF69" s="99"/>
      <c r="AG69" s="99"/>
      <c r="AH69" s="99"/>
      <c r="AI69" s="99"/>
      <c r="AJ69" s="99"/>
      <c r="AK69" s="99"/>
      <c r="AL69" s="99"/>
      <c r="AM69" s="99"/>
      <c r="AN69" s="99"/>
      <c r="AO69" s="99"/>
      <c r="AP69" s="99"/>
      <c r="AQ69" s="99"/>
      <c r="AR69" s="99"/>
    </row>
    <row r="70" spans="1:44" s="8" customFormat="1" ht="57.6">
      <c r="A70" s="195">
        <v>3</v>
      </c>
      <c r="B70" s="197" t="s">
        <v>473</v>
      </c>
      <c r="C70" s="191" t="s">
        <v>283</v>
      </c>
      <c r="D70" s="191" t="s">
        <v>299</v>
      </c>
      <c r="E70" s="197" t="s">
        <v>474</v>
      </c>
      <c r="F70" s="197" t="s">
        <v>398</v>
      </c>
      <c r="G70" s="188" t="s">
        <v>409</v>
      </c>
      <c r="H70" s="193" t="s">
        <v>102</v>
      </c>
      <c r="I70" s="193" t="s">
        <v>24</v>
      </c>
      <c r="J70" s="193" t="s">
        <v>23</v>
      </c>
      <c r="K70" s="185" t="str">
        <f>IF(I70="","",VLOOKUP(J70,'Lookup Table (2)'!$O$3:$S$7,MATCH(I70,'Lookup Table (2)'!$O$3:$S$3,0),FALSE))</f>
        <v>Low</v>
      </c>
      <c r="L70" s="169"/>
      <c r="M70" s="169"/>
      <c r="N70" s="169"/>
      <c r="O70" s="185" t="str">
        <f t="shared" si="6"/>
        <v>Low</v>
      </c>
      <c r="P70" s="134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99"/>
      <c r="AF70" s="99"/>
      <c r="AG70" s="99"/>
      <c r="AH70" s="99"/>
      <c r="AI70" s="99"/>
      <c r="AJ70" s="99"/>
      <c r="AK70" s="99"/>
      <c r="AL70" s="99"/>
      <c r="AM70" s="99"/>
      <c r="AN70" s="99"/>
      <c r="AO70" s="99"/>
      <c r="AP70" s="99"/>
      <c r="AQ70" s="99"/>
      <c r="AR70" s="99"/>
    </row>
    <row r="71" spans="1:44" s="8" customFormat="1" ht="28.8">
      <c r="A71" s="195">
        <v>4</v>
      </c>
      <c r="B71" s="197" t="s">
        <v>467</v>
      </c>
      <c r="C71" s="191" t="s">
        <v>283</v>
      </c>
      <c r="D71" s="191" t="s">
        <v>299</v>
      </c>
      <c r="E71" s="197" t="s">
        <v>475</v>
      </c>
      <c r="F71" s="197" t="s">
        <v>398</v>
      </c>
      <c r="G71" s="188" t="s">
        <v>409</v>
      </c>
      <c r="H71" s="193" t="s">
        <v>102</v>
      </c>
      <c r="I71" s="193" t="s">
        <v>24</v>
      </c>
      <c r="J71" s="193" t="s">
        <v>23</v>
      </c>
      <c r="K71" s="185" t="str">
        <f>IF(I71="","",VLOOKUP(J71,'Lookup Table (2)'!$O$3:$S$7,MATCH(I71,'Lookup Table (2)'!$O$3:$S$3,0),FALSE))</f>
        <v>Low</v>
      </c>
      <c r="L71" s="169"/>
      <c r="M71" s="169"/>
      <c r="N71" s="169"/>
      <c r="O71" s="185" t="str">
        <f t="shared" si="6"/>
        <v>Low</v>
      </c>
      <c r="P71" s="134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99"/>
      <c r="AF71" s="99"/>
      <c r="AG71" s="99"/>
      <c r="AH71" s="99"/>
      <c r="AI71" s="99"/>
      <c r="AJ71" s="99"/>
      <c r="AK71" s="99"/>
      <c r="AL71" s="99"/>
      <c r="AM71" s="99"/>
      <c r="AN71" s="99"/>
      <c r="AO71" s="99"/>
      <c r="AP71" s="99"/>
      <c r="AQ71" s="99"/>
      <c r="AR71" s="99"/>
    </row>
    <row r="72" spans="1:44" s="8" customFormat="1" ht="86.4">
      <c r="A72" s="195">
        <v>5</v>
      </c>
      <c r="B72" s="197" t="s">
        <v>476</v>
      </c>
      <c r="C72" s="191" t="s">
        <v>251</v>
      </c>
      <c r="D72" s="191" t="s">
        <v>320</v>
      </c>
      <c r="E72" s="197" t="s">
        <v>394</v>
      </c>
      <c r="F72" s="194" t="s">
        <v>399</v>
      </c>
      <c r="G72" s="188" t="s">
        <v>400</v>
      </c>
      <c r="H72" s="193" t="s">
        <v>102</v>
      </c>
      <c r="I72" s="193" t="s">
        <v>24</v>
      </c>
      <c r="J72" s="193" t="s">
        <v>23</v>
      </c>
      <c r="K72" s="185" t="str">
        <f>IF(I72="","",VLOOKUP(J72,'Lookup Table (2)'!$O$3:$S$7,MATCH(I72,'Lookup Table (2)'!$O$3:$S$3,0),FALSE))</f>
        <v>Low</v>
      </c>
      <c r="L72" s="169"/>
      <c r="M72" s="169"/>
      <c r="N72" s="169"/>
      <c r="O72" s="185" t="str">
        <f t="shared" si="6"/>
        <v>Low</v>
      </c>
      <c r="P72" s="134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99"/>
      <c r="AF72" s="99"/>
      <c r="AG72" s="99"/>
      <c r="AH72" s="99"/>
      <c r="AI72" s="99"/>
      <c r="AJ72" s="99"/>
      <c r="AK72" s="99"/>
      <c r="AL72" s="99"/>
      <c r="AM72" s="99"/>
      <c r="AN72" s="99"/>
      <c r="AO72" s="99"/>
      <c r="AP72" s="99"/>
      <c r="AQ72" s="99"/>
      <c r="AR72" s="99"/>
    </row>
    <row r="73" spans="1:44" s="8" customFormat="1" ht="57.6">
      <c r="A73" s="195">
        <v>6</v>
      </c>
      <c r="B73" s="197" t="s">
        <v>393</v>
      </c>
      <c r="C73" s="191" t="s">
        <v>283</v>
      </c>
      <c r="D73" s="191" t="s">
        <v>299</v>
      </c>
      <c r="E73" s="197" t="s">
        <v>408</v>
      </c>
      <c r="F73" s="194" t="s">
        <v>398</v>
      </c>
      <c r="G73" s="188" t="s">
        <v>409</v>
      </c>
      <c r="H73" s="193" t="s">
        <v>102</v>
      </c>
      <c r="I73" s="193" t="s">
        <v>24</v>
      </c>
      <c r="J73" s="193" t="s">
        <v>23</v>
      </c>
      <c r="K73" s="185" t="str">
        <f>IF(I73="","",VLOOKUP(J73,'Lookup Table (2)'!$O$3:$S$7,MATCH(I73,'Lookup Table (2)'!$O$3:$S$3,0),FALSE))</f>
        <v>Low</v>
      </c>
      <c r="L73" s="169"/>
      <c r="M73" s="169"/>
      <c r="N73" s="169"/>
      <c r="O73" s="185" t="str">
        <f t="shared" si="6"/>
        <v>Low</v>
      </c>
      <c r="P73" s="134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99"/>
      <c r="AF73" s="99"/>
      <c r="AG73" s="99"/>
      <c r="AH73" s="99"/>
      <c r="AI73" s="99"/>
      <c r="AJ73" s="99"/>
      <c r="AK73" s="99"/>
      <c r="AL73" s="99"/>
      <c r="AM73" s="99"/>
      <c r="AN73" s="99"/>
      <c r="AO73" s="99"/>
      <c r="AP73" s="99"/>
      <c r="AQ73" s="99"/>
      <c r="AR73" s="99"/>
    </row>
    <row r="74" spans="1:44" s="8" customFormat="1" ht="57.6">
      <c r="A74" s="195">
        <v>7</v>
      </c>
      <c r="B74" s="197" t="s">
        <v>480</v>
      </c>
      <c r="C74" s="191" t="s">
        <v>283</v>
      </c>
      <c r="D74" s="191" t="s">
        <v>299</v>
      </c>
      <c r="E74" s="197" t="s">
        <v>408</v>
      </c>
      <c r="F74" s="194" t="s">
        <v>398</v>
      </c>
      <c r="G74" s="188" t="s">
        <v>409</v>
      </c>
      <c r="H74" s="193" t="s">
        <v>102</v>
      </c>
      <c r="I74" s="193" t="s">
        <v>24</v>
      </c>
      <c r="J74" s="193" t="s">
        <v>23</v>
      </c>
      <c r="K74" s="185" t="str">
        <f>IF(I74="","",VLOOKUP(J74,'Lookup Table (2)'!$O$3:$S$7,MATCH(I74,'Lookup Table (2)'!$O$3:$S$3,0),FALSE))</f>
        <v>Low</v>
      </c>
      <c r="L74" s="169"/>
      <c r="M74" s="169"/>
      <c r="N74" s="169"/>
      <c r="O74" s="185" t="str">
        <f t="shared" si="6"/>
        <v>Low</v>
      </c>
      <c r="P74" s="134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99"/>
      <c r="AF74" s="99"/>
      <c r="AG74" s="99"/>
      <c r="AH74" s="99"/>
      <c r="AI74" s="99"/>
      <c r="AJ74" s="99"/>
      <c r="AK74" s="99"/>
      <c r="AL74" s="99"/>
      <c r="AM74" s="99"/>
      <c r="AN74" s="99"/>
      <c r="AO74" s="99"/>
      <c r="AP74" s="99"/>
      <c r="AQ74" s="99"/>
      <c r="AR74" s="99"/>
    </row>
    <row r="75" spans="1:44" s="8" customFormat="1" ht="57.6">
      <c r="A75" s="195">
        <v>8</v>
      </c>
      <c r="B75" s="197" t="s">
        <v>486</v>
      </c>
      <c r="C75" s="191" t="s">
        <v>283</v>
      </c>
      <c r="D75" s="191" t="s">
        <v>299</v>
      </c>
      <c r="E75" s="197" t="s">
        <v>408</v>
      </c>
      <c r="F75" s="194" t="s">
        <v>398</v>
      </c>
      <c r="G75" s="188" t="s">
        <v>409</v>
      </c>
      <c r="H75" s="193" t="s">
        <v>102</v>
      </c>
      <c r="I75" s="193" t="s">
        <v>24</v>
      </c>
      <c r="J75" s="193" t="s">
        <v>23</v>
      </c>
      <c r="K75" s="185" t="str">
        <f>IF(I75="","",VLOOKUP(J75,'Lookup Table (2)'!$O$3:$S$7,MATCH(I75,'Lookup Table (2)'!$O$3:$S$3,0),FALSE))</f>
        <v>Low</v>
      </c>
      <c r="L75" s="169"/>
      <c r="M75" s="169"/>
      <c r="N75" s="169"/>
      <c r="O75" s="185" t="str">
        <f t="shared" si="6"/>
        <v>Low</v>
      </c>
      <c r="P75" s="134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99"/>
      <c r="AF75" s="99"/>
      <c r="AG75" s="99"/>
      <c r="AH75" s="99"/>
      <c r="AI75" s="99"/>
      <c r="AJ75" s="99"/>
      <c r="AK75" s="99"/>
      <c r="AL75" s="99"/>
      <c r="AM75" s="99"/>
      <c r="AN75" s="99"/>
      <c r="AO75" s="99"/>
      <c r="AP75" s="99"/>
      <c r="AQ75" s="99"/>
      <c r="AR75" s="99"/>
    </row>
    <row r="76" spans="1:44" s="8" customFormat="1" ht="57.6">
      <c r="A76" s="195">
        <v>9</v>
      </c>
      <c r="B76" s="197" t="s">
        <v>478</v>
      </c>
      <c r="C76" s="191" t="s">
        <v>283</v>
      </c>
      <c r="D76" s="191" t="s">
        <v>299</v>
      </c>
      <c r="E76" s="197" t="s">
        <v>408</v>
      </c>
      <c r="F76" s="194" t="s">
        <v>398</v>
      </c>
      <c r="G76" s="188" t="s">
        <v>409</v>
      </c>
      <c r="H76" s="193" t="s">
        <v>102</v>
      </c>
      <c r="I76" s="193" t="s">
        <v>24</v>
      </c>
      <c r="J76" s="193" t="s">
        <v>23</v>
      </c>
      <c r="K76" s="185" t="str">
        <f>IF(I76="","",VLOOKUP(J76,'Lookup Table (2)'!$O$3:$S$7,MATCH(I76,'Lookup Table (2)'!$O$3:$S$3,0),FALSE))</f>
        <v>Low</v>
      </c>
      <c r="L76" s="169"/>
      <c r="M76" s="169"/>
      <c r="N76" s="169"/>
      <c r="O76" s="185" t="str">
        <f t="shared" si="6"/>
        <v>Low</v>
      </c>
      <c r="P76" s="134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99"/>
      <c r="AF76" s="99"/>
      <c r="AG76" s="99"/>
      <c r="AH76" s="99"/>
      <c r="AI76" s="99"/>
      <c r="AJ76" s="99"/>
      <c r="AK76" s="99"/>
      <c r="AL76" s="99"/>
      <c r="AM76" s="99"/>
      <c r="AN76" s="99"/>
      <c r="AO76" s="99"/>
      <c r="AP76" s="99"/>
      <c r="AQ76" s="99"/>
      <c r="AR76" s="99"/>
    </row>
    <row r="77" spans="1:44" s="8" customFormat="1" ht="28.8">
      <c r="A77" s="195">
        <v>10</v>
      </c>
      <c r="B77" s="197" t="s">
        <v>404</v>
      </c>
      <c r="C77" s="191" t="s">
        <v>283</v>
      </c>
      <c r="D77" s="191" t="s">
        <v>299</v>
      </c>
      <c r="E77" s="197" t="s">
        <v>408</v>
      </c>
      <c r="F77" s="194" t="s">
        <v>398</v>
      </c>
      <c r="G77" s="188" t="s">
        <v>409</v>
      </c>
      <c r="H77" s="193" t="s">
        <v>102</v>
      </c>
      <c r="I77" s="193" t="s">
        <v>24</v>
      </c>
      <c r="J77" s="193" t="s">
        <v>23</v>
      </c>
      <c r="K77" s="185" t="str">
        <f>IF(I77="","",VLOOKUP(J77,'Lookup Table (2)'!$O$3:$S$7,MATCH(I77,'Lookup Table (2)'!$O$3:$S$3,0),FALSE))</f>
        <v>Low</v>
      </c>
      <c r="L77" s="169"/>
      <c r="M77" s="169"/>
      <c r="N77" s="169"/>
      <c r="O77" s="185" t="str">
        <f t="shared" si="6"/>
        <v>Low</v>
      </c>
      <c r="P77" s="134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99"/>
      <c r="AF77" s="99"/>
      <c r="AG77" s="99"/>
      <c r="AH77" s="99"/>
      <c r="AI77" s="99"/>
      <c r="AJ77" s="99"/>
      <c r="AK77" s="99"/>
      <c r="AL77" s="99"/>
      <c r="AM77" s="99"/>
      <c r="AN77" s="99"/>
      <c r="AO77" s="99"/>
      <c r="AP77" s="99"/>
      <c r="AQ77" s="99"/>
      <c r="AR77" s="99"/>
    </row>
    <row r="78" spans="1:44" s="8" customFormat="1" ht="28.8">
      <c r="A78" s="195">
        <v>11</v>
      </c>
      <c r="B78" s="197" t="s">
        <v>405</v>
      </c>
      <c r="C78" s="191" t="s">
        <v>283</v>
      </c>
      <c r="D78" s="191" t="s">
        <v>299</v>
      </c>
      <c r="E78" s="197" t="s">
        <v>408</v>
      </c>
      <c r="F78" s="194" t="s">
        <v>398</v>
      </c>
      <c r="G78" s="188" t="s">
        <v>409</v>
      </c>
      <c r="H78" s="193" t="s">
        <v>102</v>
      </c>
      <c r="I78" s="193" t="s">
        <v>24</v>
      </c>
      <c r="J78" s="193" t="s">
        <v>23</v>
      </c>
      <c r="K78" s="185" t="str">
        <f>IF(I78="","",VLOOKUP(J78,'Lookup Table (2)'!$O$3:$S$7,MATCH(I78,'Lookup Table (2)'!$O$3:$S$3,0),FALSE))</f>
        <v>Low</v>
      </c>
      <c r="L78" s="169"/>
      <c r="M78" s="169"/>
      <c r="N78" s="169"/>
      <c r="O78" s="185" t="str">
        <f t="shared" si="6"/>
        <v>Low</v>
      </c>
      <c r="P78" s="134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99"/>
      <c r="AF78" s="99"/>
      <c r="AG78" s="99"/>
      <c r="AH78" s="99"/>
      <c r="AI78" s="99"/>
      <c r="AJ78" s="99"/>
      <c r="AK78" s="99"/>
      <c r="AL78" s="99"/>
      <c r="AM78" s="99"/>
      <c r="AN78" s="99"/>
      <c r="AO78" s="99"/>
      <c r="AP78" s="99"/>
      <c r="AQ78" s="99"/>
      <c r="AR78" s="99"/>
    </row>
    <row r="79" spans="1:44" s="8" customFormat="1" ht="28.8">
      <c r="A79" s="195">
        <v>12</v>
      </c>
      <c r="B79" s="197" t="s">
        <v>479</v>
      </c>
      <c r="C79" s="191" t="s">
        <v>283</v>
      </c>
      <c r="D79" s="191" t="s">
        <v>299</v>
      </c>
      <c r="E79" s="197" t="s">
        <v>408</v>
      </c>
      <c r="F79" s="194" t="s">
        <v>398</v>
      </c>
      <c r="G79" s="188" t="s">
        <v>409</v>
      </c>
      <c r="H79" s="193" t="s">
        <v>102</v>
      </c>
      <c r="I79" s="193" t="s">
        <v>24</v>
      </c>
      <c r="J79" s="193" t="s">
        <v>23</v>
      </c>
      <c r="K79" s="185" t="str">
        <f>IF(I79="","",VLOOKUP(J79,'Lookup Table (2)'!$O$3:$S$7,MATCH(I79,'Lookup Table (2)'!$O$3:$S$3,0),FALSE))</f>
        <v>Low</v>
      </c>
      <c r="L79" s="169"/>
      <c r="M79" s="169"/>
      <c r="N79" s="169"/>
      <c r="O79" s="185" t="str">
        <f t="shared" si="6"/>
        <v>Low</v>
      </c>
      <c r="P79" s="134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99"/>
      <c r="AF79" s="99"/>
      <c r="AG79" s="99"/>
      <c r="AH79" s="99"/>
      <c r="AI79" s="99"/>
      <c r="AJ79" s="99"/>
      <c r="AK79" s="99"/>
      <c r="AL79" s="99"/>
      <c r="AM79" s="99"/>
      <c r="AN79" s="99"/>
      <c r="AO79" s="99"/>
      <c r="AP79" s="99"/>
      <c r="AQ79" s="99"/>
      <c r="AR79" s="99"/>
    </row>
    <row r="80" spans="1:44" s="8" customFormat="1" ht="57.6">
      <c r="A80" s="195">
        <v>13</v>
      </c>
      <c r="B80" s="197" t="s">
        <v>468</v>
      </c>
      <c r="C80" s="191" t="s">
        <v>283</v>
      </c>
      <c r="D80" s="191" t="s">
        <v>299</v>
      </c>
      <c r="E80" s="197" t="s">
        <v>408</v>
      </c>
      <c r="F80" s="194" t="s">
        <v>398</v>
      </c>
      <c r="G80" s="188" t="s">
        <v>409</v>
      </c>
      <c r="H80" s="193" t="s">
        <v>102</v>
      </c>
      <c r="I80" s="193" t="s">
        <v>24</v>
      </c>
      <c r="J80" s="193" t="s">
        <v>23</v>
      </c>
      <c r="K80" s="185" t="str">
        <f>IF(I80="","",VLOOKUP(J80,'Lookup Table (2)'!$O$3:$S$7,MATCH(I80,'Lookup Table (2)'!$O$3:$S$3,0),FALSE))</f>
        <v>Low</v>
      </c>
      <c r="L80" s="169"/>
      <c r="M80" s="169"/>
      <c r="N80" s="169"/>
      <c r="O80" s="185" t="str">
        <f t="shared" si="6"/>
        <v>Low</v>
      </c>
      <c r="P80" s="134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99"/>
      <c r="AF80" s="99"/>
      <c r="AG80" s="99"/>
      <c r="AH80" s="99"/>
      <c r="AI80" s="99"/>
      <c r="AJ80" s="99"/>
      <c r="AK80" s="99"/>
      <c r="AL80" s="99"/>
      <c r="AM80" s="99"/>
      <c r="AN80" s="99"/>
      <c r="AO80" s="99"/>
      <c r="AP80" s="99"/>
      <c r="AQ80" s="99"/>
      <c r="AR80" s="99"/>
    </row>
    <row r="81" spans="1:44" s="8" customFormat="1" ht="28.8">
      <c r="A81" s="195">
        <v>14</v>
      </c>
      <c r="B81" s="197" t="s">
        <v>469</v>
      </c>
      <c r="C81" s="191" t="s">
        <v>283</v>
      </c>
      <c r="D81" s="191" t="s">
        <v>299</v>
      </c>
      <c r="E81" s="197" t="s">
        <v>408</v>
      </c>
      <c r="F81" s="194" t="s">
        <v>398</v>
      </c>
      <c r="G81" s="188" t="s">
        <v>409</v>
      </c>
      <c r="H81" s="193" t="s">
        <v>102</v>
      </c>
      <c r="I81" s="193" t="s">
        <v>24</v>
      </c>
      <c r="J81" s="193" t="s">
        <v>23</v>
      </c>
      <c r="K81" s="185" t="str">
        <f>IF(I81="","",VLOOKUP(J81,'Lookup Table (2)'!$O$3:$S$7,MATCH(I81,'Lookup Table (2)'!$O$3:$S$3,0),FALSE))</f>
        <v>Low</v>
      </c>
      <c r="L81" s="169"/>
      <c r="M81" s="169"/>
      <c r="N81" s="169"/>
      <c r="O81" s="185" t="str">
        <f t="shared" si="6"/>
        <v>Low</v>
      </c>
      <c r="P81" s="134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99"/>
      <c r="AF81" s="99"/>
      <c r="AG81" s="99"/>
      <c r="AH81" s="99"/>
      <c r="AI81" s="99"/>
      <c r="AJ81" s="99"/>
      <c r="AK81" s="99"/>
      <c r="AL81" s="99"/>
      <c r="AM81" s="99"/>
      <c r="AN81" s="99"/>
      <c r="AO81" s="99"/>
      <c r="AP81" s="99"/>
      <c r="AQ81" s="99"/>
      <c r="AR81" s="99"/>
    </row>
    <row r="82" spans="1:44" s="8" customFormat="1" ht="57.6">
      <c r="A82" s="195">
        <v>15</v>
      </c>
      <c r="B82" s="197" t="s">
        <v>411</v>
      </c>
      <c r="C82" s="191" t="s">
        <v>261</v>
      </c>
      <c r="D82" s="191" t="s">
        <v>360</v>
      </c>
      <c r="E82" s="197" t="s">
        <v>424</v>
      </c>
      <c r="F82" s="194" t="s">
        <v>425</v>
      </c>
      <c r="G82" s="188" t="s">
        <v>426</v>
      </c>
      <c r="H82" s="193" t="s">
        <v>102</v>
      </c>
      <c r="I82" s="193" t="s">
        <v>24</v>
      </c>
      <c r="J82" s="193" t="s">
        <v>23</v>
      </c>
      <c r="K82" s="185" t="str">
        <f>IF(I82="","",VLOOKUP(J82,'Lookup Table (2)'!$O$3:$S$7,MATCH(I82,'Lookup Table (2)'!$O$3:$S$3,0),FALSE))</f>
        <v>Low</v>
      </c>
      <c r="L82" s="169"/>
      <c r="M82" s="169"/>
      <c r="N82" s="169"/>
      <c r="O82" s="185" t="str">
        <f t="shared" si="6"/>
        <v>Low</v>
      </c>
      <c r="P82" s="134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99"/>
      <c r="AF82" s="99"/>
      <c r="AG82" s="99"/>
      <c r="AH82" s="99"/>
      <c r="AI82" s="99"/>
      <c r="AJ82" s="99"/>
      <c r="AK82" s="99"/>
      <c r="AL82" s="99"/>
      <c r="AM82" s="99"/>
      <c r="AN82" s="99"/>
      <c r="AO82" s="99"/>
      <c r="AP82" s="99"/>
      <c r="AQ82" s="99"/>
      <c r="AR82" s="99"/>
    </row>
    <row r="83" spans="1:44" s="8" customFormat="1" ht="28.8">
      <c r="A83" s="195">
        <v>16</v>
      </c>
      <c r="B83" s="197" t="s">
        <v>412</v>
      </c>
      <c r="C83" s="191" t="s">
        <v>283</v>
      </c>
      <c r="D83" s="191" t="s">
        <v>299</v>
      </c>
      <c r="E83" s="197" t="s">
        <v>408</v>
      </c>
      <c r="F83" s="194" t="s">
        <v>398</v>
      </c>
      <c r="G83" s="188" t="s">
        <v>409</v>
      </c>
      <c r="H83" s="193" t="s">
        <v>102</v>
      </c>
      <c r="I83" s="193" t="s">
        <v>24</v>
      </c>
      <c r="J83" s="193" t="s">
        <v>23</v>
      </c>
      <c r="K83" s="185" t="str">
        <f>IF(I83="","",VLOOKUP(J83,'Lookup Table (2)'!$O$3:$S$7,MATCH(I83,'Lookup Table (2)'!$O$3:$S$3,0),FALSE))</f>
        <v>Low</v>
      </c>
      <c r="L83" s="169"/>
      <c r="M83" s="169"/>
      <c r="N83" s="169"/>
      <c r="O83" s="185" t="str">
        <f t="shared" si="6"/>
        <v>Low</v>
      </c>
      <c r="P83" s="134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99"/>
      <c r="AF83" s="99"/>
      <c r="AG83" s="99"/>
      <c r="AH83" s="99"/>
      <c r="AI83" s="99"/>
      <c r="AJ83" s="99"/>
      <c r="AK83" s="99"/>
      <c r="AL83" s="99"/>
      <c r="AM83" s="99"/>
      <c r="AN83" s="99"/>
      <c r="AO83" s="99"/>
      <c r="AP83" s="99"/>
      <c r="AQ83" s="99"/>
      <c r="AR83" s="99"/>
    </row>
    <row r="84" spans="1:44" s="8" customFormat="1" ht="28.8">
      <c r="A84" s="195">
        <v>17</v>
      </c>
      <c r="B84" s="197" t="s">
        <v>413</v>
      </c>
      <c r="C84" s="191" t="s">
        <v>283</v>
      </c>
      <c r="D84" s="191" t="s">
        <v>299</v>
      </c>
      <c r="E84" s="197" t="s">
        <v>408</v>
      </c>
      <c r="F84" s="194" t="s">
        <v>398</v>
      </c>
      <c r="G84" s="188" t="s">
        <v>409</v>
      </c>
      <c r="H84" s="193" t="s">
        <v>102</v>
      </c>
      <c r="I84" s="193" t="s">
        <v>24</v>
      </c>
      <c r="J84" s="193" t="s">
        <v>23</v>
      </c>
      <c r="K84" s="185" t="str">
        <f>IF(I84="","",VLOOKUP(J84,'Lookup Table (2)'!$O$3:$S$7,MATCH(I84,'Lookup Table (2)'!$O$3:$S$3,0),FALSE))</f>
        <v>Low</v>
      </c>
      <c r="L84" s="169"/>
      <c r="M84" s="169"/>
      <c r="N84" s="169"/>
      <c r="O84" s="185" t="str">
        <f t="shared" si="6"/>
        <v>Low</v>
      </c>
      <c r="P84" s="134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99"/>
      <c r="AF84" s="99"/>
      <c r="AG84" s="99"/>
      <c r="AH84" s="99"/>
      <c r="AI84" s="99"/>
      <c r="AJ84" s="99"/>
      <c r="AK84" s="99"/>
      <c r="AL84" s="99"/>
      <c r="AM84" s="99"/>
      <c r="AN84" s="99"/>
      <c r="AO84" s="99"/>
      <c r="AP84" s="99"/>
      <c r="AQ84" s="99"/>
      <c r="AR84" s="99"/>
    </row>
    <row r="85" spans="1:44" s="8" customFormat="1" ht="57.6">
      <c r="A85" s="195">
        <v>18</v>
      </c>
      <c r="B85" s="197" t="s">
        <v>414</v>
      </c>
      <c r="C85" s="191" t="s">
        <v>283</v>
      </c>
      <c r="D85" s="191" t="s">
        <v>299</v>
      </c>
      <c r="E85" s="197" t="s">
        <v>408</v>
      </c>
      <c r="F85" s="194" t="s">
        <v>398</v>
      </c>
      <c r="G85" s="188" t="s">
        <v>409</v>
      </c>
      <c r="H85" s="193" t="s">
        <v>102</v>
      </c>
      <c r="I85" s="193" t="s">
        <v>24</v>
      </c>
      <c r="J85" s="193" t="s">
        <v>23</v>
      </c>
      <c r="K85" s="185" t="str">
        <f>IF(I85="","",VLOOKUP(J85,'Lookup Table (2)'!$O$3:$S$7,MATCH(I85,'Lookup Table (2)'!$O$3:$S$3,0),FALSE))</f>
        <v>Low</v>
      </c>
      <c r="L85" s="169"/>
      <c r="M85" s="169"/>
      <c r="N85" s="169"/>
      <c r="O85" s="185" t="str">
        <f t="shared" si="6"/>
        <v>Low</v>
      </c>
      <c r="P85" s="134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99"/>
      <c r="AF85" s="99"/>
      <c r="AG85" s="99"/>
      <c r="AH85" s="99"/>
      <c r="AI85" s="99"/>
      <c r="AJ85" s="99"/>
      <c r="AK85" s="99"/>
      <c r="AL85" s="99"/>
      <c r="AM85" s="99"/>
      <c r="AN85" s="99"/>
      <c r="AO85" s="99"/>
      <c r="AP85" s="99"/>
      <c r="AQ85" s="99"/>
      <c r="AR85" s="99"/>
    </row>
    <row r="86" spans="1:44" s="8" customFormat="1" ht="28.8">
      <c r="A86" s="195">
        <v>19</v>
      </c>
      <c r="B86" s="197" t="s">
        <v>415</v>
      </c>
      <c r="C86" s="191" t="s">
        <v>283</v>
      </c>
      <c r="D86" s="191" t="s">
        <v>299</v>
      </c>
      <c r="E86" s="197" t="s">
        <v>408</v>
      </c>
      <c r="F86" s="194" t="s">
        <v>398</v>
      </c>
      <c r="G86" s="188" t="s">
        <v>409</v>
      </c>
      <c r="H86" s="193" t="s">
        <v>102</v>
      </c>
      <c r="I86" s="193" t="s">
        <v>24</v>
      </c>
      <c r="J86" s="193" t="s">
        <v>23</v>
      </c>
      <c r="K86" s="185" t="str">
        <f>IF(I86="","",VLOOKUP(J86,'Lookup Table (2)'!$O$3:$S$7,MATCH(I86,'Lookup Table (2)'!$O$3:$S$3,0),FALSE))</f>
        <v>Low</v>
      </c>
      <c r="L86" s="169"/>
      <c r="M86" s="169"/>
      <c r="N86" s="169"/>
      <c r="O86" s="185" t="str">
        <f t="shared" si="6"/>
        <v>Low</v>
      </c>
      <c r="P86" s="134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99"/>
      <c r="AF86" s="99"/>
      <c r="AG86" s="99"/>
      <c r="AH86" s="99"/>
      <c r="AI86" s="99"/>
      <c r="AJ86" s="99"/>
      <c r="AK86" s="99"/>
      <c r="AL86" s="99"/>
      <c r="AM86" s="99"/>
      <c r="AN86" s="99"/>
      <c r="AO86" s="99"/>
      <c r="AP86" s="99"/>
      <c r="AQ86" s="99"/>
      <c r="AR86" s="99"/>
    </row>
    <row r="87" spans="1:44" s="8" customFormat="1" ht="57.6">
      <c r="A87" s="195">
        <v>20</v>
      </c>
      <c r="B87" s="197" t="s">
        <v>417</v>
      </c>
      <c r="C87" s="191" t="s">
        <v>283</v>
      </c>
      <c r="D87" s="191" t="s">
        <v>299</v>
      </c>
      <c r="E87" s="197" t="s">
        <v>408</v>
      </c>
      <c r="F87" s="194" t="s">
        <v>398</v>
      </c>
      <c r="G87" s="188" t="s">
        <v>409</v>
      </c>
      <c r="H87" s="193" t="s">
        <v>102</v>
      </c>
      <c r="I87" s="193" t="s">
        <v>24</v>
      </c>
      <c r="J87" s="193" t="s">
        <v>23</v>
      </c>
      <c r="K87" s="185" t="str">
        <f>IF(I87="","",VLOOKUP(J87,'Lookup Table (2)'!$O$3:$S$7,MATCH(I87,'Lookup Table (2)'!$O$3:$S$3,0),FALSE))</f>
        <v>Low</v>
      </c>
      <c r="L87" s="169"/>
      <c r="M87" s="169"/>
      <c r="N87" s="169"/>
      <c r="O87" s="185" t="str">
        <f t="shared" si="6"/>
        <v>Low</v>
      </c>
      <c r="P87" s="134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99"/>
      <c r="AF87" s="99"/>
      <c r="AG87" s="99"/>
      <c r="AH87" s="99"/>
      <c r="AI87" s="99"/>
      <c r="AJ87" s="99"/>
      <c r="AK87" s="99"/>
      <c r="AL87" s="99"/>
      <c r="AM87" s="99"/>
      <c r="AN87" s="99"/>
      <c r="AO87" s="99"/>
      <c r="AP87" s="99"/>
      <c r="AQ87" s="99"/>
      <c r="AR87" s="99"/>
    </row>
    <row r="88" spans="1:44" s="8" customFormat="1" ht="57.6">
      <c r="A88" s="195">
        <v>21</v>
      </c>
      <c r="B88" s="197" t="s">
        <v>418</v>
      </c>
      <c r="C88" s="191" t="s">
        <v>283</v>
      </c>
      <c r="D88" s="191" t="s">
        <v>299</v>
      </c>
      <c r="E88" s="197" t="s">
        <v>408</v>
      </c>
      <c r="F88" s="194" t="s">
        <v>398</v>
      </c>
      <c r="G88" s="188" t="s">
        <v>409</v>
      </c>
      <c r="H88" s="193" t="s">
        <v>102</v>
      </c>
      <c r="I88" s="193" t="s">
        <v>24</v>
      </c>
      <c r="J88" s="193" t="s">
        <v>23</v>
      </c>
      <c r="K88" s="185" t="str">
        <f>IF(I88="","",VLOOKUP(J88,'Lookup Table (2)'!$O$3:$S$7,MATCH(I88,'Lookup Table (2)'!$O$3:$S$3,0),FALSE))</f>
        <v>Low</v>
      </c>
      <c r="L88" s="169"/>
      <c r="M88" s="169"/>
      <c r="N88" s="169"/>
      <c r="O88" s="185" t="str">
        <f t="shared" si="6"/>
        <v>Low</v>
      </c>
      <c r="P88" s="134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99"/>
      <c r="AF88" s="99"/>
      <c r="AG88" s="99"/>
      <c r="AH88" s="99"/>
      <c r="AI88" s="99"/>
      <c r="AJ88" s="99"/>
      <c r="AK88" s="99"/>
      <c r="AL88" s="99"/>
      <c r="AM88" s="99"/>
      <c r="AN88" s="99"/>
      <c r="AO88" s="99"/>
      <c r="AP88" s="99"/>
      <c r="AQ88" s="99"/>
      <c r="AR88" s="99"/>
    </row>
    <row r="89" spans="1:44" s="8" customFormat="1" ht="28.8">
      <c r="A89" s="195">
        <v>22</v>
      </c>
      <c r="B89" s="197" t="s">
        <v>419</v>
      </c>
      <c r="C89" s="191" t="s">
        <v>283</v>
      </c>
      <c r="D89" s="191" t="s">
        <v>299</v>
      </c>
      <c r="E89" s="197" t="s">
        <v>408</v>
      </c>
      <c r="F89" s="194" t="s">
        <v>398</v>
      </c>
      <c r="G89" s="188" t="s">
        <v>409</v>
      </c>
      <c r="H89" s="193" t="s">
        <v>102</v>
      </c>
      <c r="I89" s="193" t="s">
        <v>24</v>
      </c>
      <c r="J89" s="193" t="s">
        <v>23</v>
      </c>
      <c r="K89" s="185" t="str">
        <f>IF(I89="","",VLOOKUP(J89,'Lookup Table (2)'!$O$3:$S$7,MATCH(I89,'Lookup Table (2)'!$O$3:$S$3,0),FALSE))</f>
        <v>Low</v>
      </c>
      <c r="L89" s="169"/>
      <c r="M89" s="169"/>
      <c r="N89" s="169"/>
      <c r="O89" s="185" t="str">
        <f t="shared" si="6"/>
        <v>Low</v>
      </c>
      <c r="P89" s="134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99"/>
      <c r="AF89" s="99"/>
      <c r="AG89" s="99"/>
      <c r="AH89" s="99"/>
      <c r="AI89" s="99"/>
      <c r="AJ89" s="99"/>
      <c r="AK89" s="99"/>
      <c r="AL89" s="99"/>
      <c r="AM89" s="99"/>
      <c r="AN89" s="99"/>
      <c r="AO89" s="99"/>
      <c r="AP89" s="99"/>
      <c r="AQ89" s="99"/>
      <c r="AR89" s="99"/>
    </row>
    <row r="90" spans="1:44" s="8" customFormat="1" ht="57.6">
      <c r="A90" s="195">
        <v>23</v>
      </c>
      <c r="B90" s="197" t="s">
        <v>420</v>
      </c>
      <c r="C90" s="191" t="s">
        <v>283</v>
      </c>
      <c r="D90" s="191" t="s">
        <v>299</v>
      </c>
      <c r="E90" s="197" t="s">
        <v>408</v>
      </c>
      <c r="F90" s="194" t="s">
        <v>398</v>
      </c>
      <c r="G90" s="188" t="s">
        <v>409</v>
      </c>
      <c r="H90" s="193" t="s">
        <v>102</v>
      </c>
      <c r="I90" s="193" t="s">
        <v>24</v>
      </c>
      <c r="J90" s="193" t="s">
        <v>23</v>
      </c>
      <c r="K90" s="185" t="str">
        <f>IF(I90="","",VLOOKUP(J90,'Lookup Table (2)'!$O$3:$S$7,MATCH(I90,'Lookup Table (2)'!$O$3:$S$3,0),FALSE))</f>
        <v>Low</v>
      </c>
      <c r="L90" s="169"/>
      <c r="M90" s="169"/>
      <c r="N90" s="169"/>
      <c r="O90" s="185" t="str">
        <f t="shared" si="6"/>
        <v>Low</v>
      </c>
      <c r="P90" s="134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99"/>
      <c r="AF90" s="99"/>
      <c r="AG90" s="99"/>
      <c r="AH90" s="99"/>
      <c r="AI90" s="99"/>
      <c r="AJ90" s="99"/>
      <c r="AK90" s="99"/>
      <c r="AL90" s="99"/>
      <c r="AM90" s="99"/>
      <c r="AN90" s="99"/>
      <c r="AO90" s="99"/>
      <c r="AP90" s="99"/>
      <c r="AQ90" s="99"/>
      <c r="AR90" s="99"/>
    </row>
    <row r="91" spans="1:44" s="8" customFormat="1" ht="28.8">
      <c r="A91" s="195">
        <v>24</v>
      </c>
      <c r="B91" s="197" t="s">
        <v>421</v>
      </c>
      <c r="C91" s="191" t="s">
        <v>283</v>
      </c>
      <c r="D91" s="191" t="s">
        <v>299</v>
      </c>
      <c r="E91" s="197" t="s">
        <v>408</v>
      </c>
      <c r="F91" s="194" t="s">
        <v>398</v>
      </c>
      <c r="G91" s="188" t="s">
        <v>409</v>
      </c>
      <c r="H91" s="193" t="s">
        <v>102</v>
      </c>
      <c r="I91" s="193" t="s">
        <v>24</v>
      </c>
      <c r="J91" s="193" t="s">
        <v>23</v>
      </c>
      <c r="K91" s="185" t="str">
        <f>IF(I91="","",VLOOKUP(J91,'Lookup Table (2)'!$O$3:$S$7,MATCH(I91,'Lookup Table (2)'!$O$3:$S$3,0),FALSE))</f>
        <v>Low</v>
      </c>
      <c r="L91" s="169"/>
      <c r="M91" s="169"/>
      <c r="N91" s="169"/>
      <c r="O91" s="185" t="str">
        <f t="shared" si="6"/>
        <v>Low</v>
      </c>
      <c r="P91" s="134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  <c r="AE91" s="99"/>
      <c r="AF91" s="99"/>
      <c r="AG91" s="99"/>
      <c r="AH91" s="99"/>
      <c r="AI91" s="99"/>
      <c r="AJ91" s="99"/>
      <c r="AK91" s="99"/>
      <c r="AL91" s="99"/>
      <c r="AM91" s="99"/>
      <c r="AN91" s="99"/>
      <c r="AO91" s="99"/>
      <c r="AP91" s="99"/>
      <c r="AQ91" s="99"/>
      <c r="AR91" s="99"/>
    </row>
    <row r="92" spans="1:44" s="8" customFormat="1" ht="28.8">
      <c r="A92" s="195">
        <v>25</v>
      </c>
      <c r="B92" s="197" t="s">
        <v>422</v>
      </c>
      <c r="C92" s="191" t="s">
        <v>283</v>
      </c>
      <c r="D92" s="191" t="s">
        <v>299</v>
      </c>
      <c r="E92" s="197" t="s">
        <v>408</v>
      </c>
      <c r="F92" s="194" t="s">
        <v>398</v>
      </c>
      <c r="G92" s="188" t="s">
        <v>409</v>
      </c>
      <c r="H92" s="193" t="s">
        <v>102</v>
      </c>
      <c r="I92" s="193" t="s">
        <v>24</v>
      </c>
      <c r="J92" s="193" t="s">
        <v>23</v>
      </c>
      <c r="K92" s="185" t="str">
        <f>IF(I92="","",VLOOKUP(J92,'Lookup Table (2)'!$O$3:$S$7,MATCH(I92,'Lookup Table (2)'!$O$3:$S$3,0),FALSE))</f>
        <v>Low</v>
      </c>
      <c r="L92" s="169"/>
      <c r="M92" s="169"/>
      <c r="N92" s="169"/>
      <c r="O92" s="185" t="str">
        <f t="shared" si="6"/>
        <v>Low</v>
      </c>
      <c r="P92" s="134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99"/>
      <c r="AF92" s="99"/>
      <c r="AG92" s="99"/>
      <c r="AH92" s="99"/>
      <c r="AI92" s="99"/>
      <c r="AJ92" s="99"/>
      <c r="AK92" s="99"/>
      <c r="AL92" s="99"/>
      <c r="AM92" s="99"/>
      <c r="AN92" s="99"/>
      <c r="AO92" s="99"/>
      <c r="AP92" s="99"/>
      <c r="AQ92" s="99"/>
      <c r="AR92" s="99"/>
    </row>
    <row r="93" spans="1:44" s="8" customFormat="1" ht="86.4">
      <c r="A93" s="195">
        <v>26</v>
      </c>
      <c r="B93" s="197" t="s">
        <v>423</v>
      </c>
      <c r="C93" s="191" t="s">
        <v>261</v>
      </c>
      <c r="D93" s="191" t="s">
        <v>360</v>
      </c>
      <c r="E93" s="197" t="s">
        <v>424</v>
      </c>
      <c r="F93" s="197" t="s">
        <v>430</v>
      </c>
      <c r="G93" s="188" t="s">
        <v>502</v>
      </c>
      <c r="H93" s="193" t="s">
        <v>102</v>
      </c>
      <c r="I93" s="193" t="s">
        <v>24</v>
      </c>
      <c r="J93" s="193" t="s">
        <v>23</v>
      </c>
      <c r="K93" s="185" t="str">
        <f>IF(I93="","",VLOOKUP(J93,'Lookup Table (2)'!$O$3:$S$7,MATCH(I93,'Lookup Table (2)'!$O$3:$S$3,0),FALSE))</f>
        <v>Low</v>
      </c>
      <c r="L93" s="169"/>
      <c r="M93" s="169"/>
      <c r="N93" s="169"/>
      <c r="O93" s="185" t="str">
        <f t="shared" si="6"/>
        <v>Low</v>
      </c>
      <c r="P93" s="134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99"/>
      <c r="AF93" s="99"/>
      <c r="AG93" s="99"/>
      <c r="AH93" s="99"/>
      <c r="AI93" s="99"/>
      <c r="AJ93" s="99"/>
      <c r="AK93" s="99"/>
      <c r="AL93" s="99"/>
      <c r="AM93" s="99"/>
      <c r="AN93" s="99"/>
      <c r="AO93" s="99"/>
      <c r="AP93" s="99"/>
      <c r="AQ93" s="99"/>
      <c r="AR93" s="99"/>
    </row>
    <row r="94" spans="1:44" s="8" customFormat="1" ht="86.4">
      <c r="A94" s="195">
        <v>27</v>
      </c>
      <c r="B94" s="197" t="s">
        <v>457</v>
      </c>
      <c r="C94" s="191" t="s">
        <v>261</v>
      </c>
      <c r="D94" s="191" t="s">
        <v>360</v>
      </c>
      <c r="E94" s="197" t="s">
        <v>424</v>
      </c>
      <c r="F94" s="197" t="s">
        <v>430</v>
      </c>
      <c r="G94" s="188" t="s">
        <v>502</v>
      </c>
      <c r="H94" s="193" t="s">
        <v>102</v>
      </c>
      <c r="I94" s="193" t="s">
        <v>24</v>
      </c>
      <c r="J94" s="193" t="s">
        <v>23</v>
      </c>
      <c r="K94" s="185" t="str">
        <f>IF(I94="","",VLOOKUP(J94,'Lookup Table (2)'!$O$3:$S$7,MATCH(I94,'Lookup Table (2)'!$O$3:$S$3,0),FALSE))</f>
        <v>Low</v>
      </c>
      <c r="L94" s="169"/>
      <c r="M94" s="169"/>
      <c r="N94" s="169"/>
      <c r="O94" s="185" t="str">
        <f t="shared" si="6"/>
        <v>Low</v>
      </c>
      <c r="P94" s="134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99"/>
      <c r="AF94" s="99"/>
      <c r="AG94" s="99"/>
      <c r="AH94" s="99"/>
      <c r="AI94" s="99"/>
      <c r="AJ94" s="99"/>
      <c r="AK94" s="99"/>
      <c r="AL94" s="99"/>
      <c r="AM94" s="99"/>
      <c r="AN94" s="99"/>
      <c r="AO94" s="99"/>
      <c r="AP94" s="99"/>
      <c r="AQ94" s="99"/>
      <c r="AR94" s="99"/>
    </row>
    <row r="95" spans="1:44" s="8" customFormat="1" ht="57.6">
      <c r="A95" s="195">
        <v>28</v>
      </c>
      <c r="B95" s="197" t="s">
        <v>481</v>
      </c>
      <c r="C95" s="191" t="s">
        <v>283</v>
      </c>
      <c r="D95" s="191" t="s">
        <v>299</v>
      </c>
      <c r="E95" s="197" t="s">
        <v>408</v>
      </c>
      <c r="F95" s="194" t="s">
        <v>398</v>
      </c>
      <c r="G95" s="188" t="s">
        <v>409</v>
      </c>
      <c r="H95" s="193" t="s">
        <v>102</v>
      </c>
      <c r="I95" s="193" t="s">
        <v>24</v>
      </c>
      <c r="J95" s="193" t="s">
        <v>23</v>
      </c>
      <c r="K95" s="185" t="str">
        <f>IF(I95="","",VLOOKUP(J95,'Lookup Table (2)'!$O$3:$S$7,MATCH(I95,'Lookup Table (2)'!$O$3:$S$3,0),FALSE))</f>
        <v>Low</v>
      </c>
      <c r="L95" s="169"/>
      <c r="M95" s="169"/>
      <c r="N95" s="169"/>
      <c r="O95" s="185" t="str">
        <f t="shared" si="6"/>
        <v>Low</v>
      </c>
      <c r="P95" s="134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99"/>
      <c r="AF95" s="99"/>
      <c r="AG95" s="99"/>
      <c r="AH95" s="99"/>
      <c r="AI95" s="99"/>
      <c r="AJ95" s="99"/>
      <c r="AK95" s="99"/>
      <c r="AL95" s="99"/>
      <c r="AM95" s="99"/>
      <c r="AN95" s="99"/>
      <c r="AO95" s="99"/>
      <c r="AP95" s="99"/>
      <c r="AQ95" s="99"/>
      <c r="AR95" s="99"/>
    </row>
    <row r="96" spans="1:44" s="8" customFormat="1" ht="57.6">
      <c r="A96" s="195"/>
      <c r="B96" s="202" t="s">
        <v>488</v>
      </c>
      <c r="C96" s="191"/>
      <c r="D96" s="191"/>
      <c r="E96" s="197"/>
      <c r="F96" s="197"/>
      <c r="G96" s="188"/>
      <c r="H96" s="193"/>
      <c r="I96" s="193"/>
      <c r="J96" s="193"/>
      <c r="K96" s="185"/>
      <c r="L96" s="169"/>
      <c r="M96" s="169"/>
      <c r="N96" s="169"/>
      <c r="O96" s="185">
        <f t="shared" ref="O96:O108" si="7">IF(M96="",K96,IF(P96&lt;=3,"Low",IF(AND(3&lt;P96,P96&lt;6),"Moderate",IF(AND(6&lt;=P96,P96&lt;7),"High",IF(AND(7&lt;=P96,P96&lt;=9),"Critical","Catastrophic")))))</f>
        <v>0</v>
      </c>
      <c r="P96" s="134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99"/>
      <c r="AF96" s="99"/>
      <c r="AG96" s="99"/>
      <c r="AH96" s="99"/>
      <c r="AI96" s="99"/>
      <c r="AJ96" s="99"/>
      <c r="AK96" s="99"/>
      <c r="AL96" s="99"/>
      <c r="AM96" s="99"/>
      <c r="AN96" s="99"/>
      <c r="AO96" s="99"/>
      <c r="AP96" s="99"/>
      <c r="AQ96" s="99"/>
      <c r="AR96" s="99"/>
    </row>
    <row r="97" spans="1:52" s="8" customFormat="1" ht="57.6">
      <c r="A97" s="195">
        <v>1</v>
      </c>
      <c r="B97" s="197" t="s">
        <v>459</v>
      </c>
      <c r="C97" s="191" t="s">
        <v>283</v>
      </c>
      <c r="D97" s="191" t="s">
        <v>299</v>
      </c>
      <c r="E97" s="197" t="s">
        <v>460</v>
      </c>
      <c r="F97" s="197" t="s">
        <v>398</v>
      </c>
      <c r="G97" s="188" t="s">
        <v>409</v>
      </c>
      <c r="H97" s="193" t="s">
        <v>102</v>
      </c>
      <c r="I97" s="193" t="s">
        <v>24</v>
      </c>
      <c r="J97" s="193" t="s">
        <v>23</v>
      </c>
      <c r="K97" s="185" t="str">
        <f>IF(I97="","",VLOOKUP(J97,'Lookup Table (2)'!$O$3:$S$7,MATCH(I97,'Lookup Table (2)'!$O$3:$S$3,0),FALSE))</f>
        <v>Low</v>
      </c>
      <c r="L97" s="169"/>
      <c r="M97" s="169"/>
      <c r="N97" s="169"/>
      <c r="O97" s="185" t="str">
        <f t="shared" si="7"/>
        <v>Low</v>
      </c>
      <c r="P97" s="134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99"/>
      <c r="AF97" s="99"/>
      <c r="AG97" s="99"/>
      <c r="AH97" s="99"/>
      <c r="AI97" s="99"/>
      <c r="AJ97" s="99"/>
      <c r="AK97" s="99"/>
      <c r="AL97" s="99"/>
      <c r="AM97" s="99"/>
      <c r="AN97" s="99"/>
      <c r="AO97" s="99"/>
      <c r="AP97" s="99"/>
      <c r="AQ97" s="99"/>
      <c r="AR97" s="99"/>
    </row>
    <row r="98" spans="1:52" s="8" customFormat="1" ht="57.6">
      <c r="A98" s="195">
        <v>2</v>
      </c>
      <c r="B98" s="197" t="s">
        <v>461</v>
      </c>
      <c r="C98" s="191" t="s">
        <v>283</v>
      </c>
      <c r="D98" s="191" t="s">
        <v>299</v>
      </c>
      <c r="E98" s="197" t="s">
        <v>462</v>
      </c>
      <c r="F98" s="197" t="s">
        <v>398</v>
      </c>
      <c r="G98" s="188" t="s">
        <v>409</v>
      </c>
      <c r="H98" s="193" t="s">
        <v>102</v>
      </c>
      <c r="I98" s="193" t="s">
        <v>24</v>
      </c>
      <c r="J98" s="193" t="s">
        <v>23</v>
      </c>
      <c r="K98" s="185" t="str">
        <f>IF(I98="","",VLOOKUP(J98,'Lookup Table (2)'!$O$3:$S$7,MATCH(I98,'Lookup Table (2)'!$O$3:$S$3,0),FALSE))</f>
        <v>Low</v>
      </c>
      <c r="L98" s="169"/>
      <c r="M98" s="169"/>
      <c r="N98" s="169"/>
      <c r="O98" s="185" t="str">
        <f t="shared" si="7"/>
        <v>Low</v>
      </c>
      <c r="P98" s="134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99"/>
      <c r="AF98" s="99"/>
      <c r="AG98" s="99"/>
      <c r="AH98" s="99"/>
      <c r="AI98" s="99"/>
      <c r="AJ98" s="99"/>
      <c r="AK98" s="99"/>
      <c r="AL98" s="99"/>
      <c r="AM98" s="99"/>
      <c r="AN98" s="99"/>
      <c r="AO98" s="99"/>
      <c r="AP98" s="99"/>
      <c r="AQ98" s="99"/>
      <c r="AR98" s="99"/>
    </row>
    <row r="99" spans="1:52" s="8" customFormat="1" ht="30" customHeight="1">
      <c r="A99" s="195">
        <v>3</v>
      </c>
      <c r="B99" s="197" t="s">
        <v>448</v>
      </c>
      <c r="C99" s="191" t="s">
        <v>261</v>
      </c>
      <c r="D99" s="191" t="s">
        <v>360</v>
      </c>
      <c r="E99" s="197" t="s">
        <v>424</v>
      </c>
      <c r="F99" s="197" t="s">
        <v>430</v>
      </c>
      <c r="G99" s="188" t="s">
        <v>426</v>
      </c>
      <c r="H99" s="193" t="s">
        <v>102</v>
      </c>
      <c r="I99" s="193" t="s">
        <v>24</v>
      </c>
      <c r="J99" s="193" t="s">
        <v>23</v>
      </c>
      <c r="K99" s="185" t="str">
        <f>IF(I99="","",VLOOKUP(J99,'Lookup Table (2)'!$O$3:$S$7,MATCH(I99,'Lookup Table (2)'!$O$3:$S$3,0),FALSE))</f>
        <v>Low</v>
      </c>
      <c r="L99" s="169"/>
      <c r="M99" s="169"/>
      <c r="N99" s="169"/>
      <c r="O99" s="185" t="str">
        <f t="shared" si="7"/>
        <v>Low</v>
      </c>
      <c r="P99" s="134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99"/>
      <c r="AF99" s="99"/>
      <c r="AG99" s="99"/>
      <c r="AH99" s="99"/>
      <c r="AI99" s="99"/>
      <c r="AJ99" s="99"/>
      <c r="AK99" s="99"/>
      <c r="AL99" s="99"/>
      <c r="AM99" s="99"/>
      <c r="AN99" s="99"/>
      <c r="AO99" s="99"/>
      <c r="AP99" s="99"/>
      <c r="AQ99" s="99"/>
      <c r="AR99" s="99"/>
    </row>
    <row r="100" spans="1:52" s="8" customFormat="1" ht="30" customHeight="1">
      <c r="A100" s="195">
        <v>4</v>
      </c>
      <c r="B100" s="197" t="s">
        <v>456</v>
      </c>
      <c r="C100" s="191" t="s">
        <v>261</v>
      </c>
      <c r="D100" s="191" t="s">
        <v>360</v>
      </c>
      <c r="E100" s="197" t="s">
        <v>424</v>
      </c>
      <c r="F100" s="197" t="s">
        <v>430</v>
      </c>
      <c r="G100" s="188" t="s">
        <v>426</v>
      </c>
      <c r="H100" s="193" t="s">
        <v>102</v>
      </c>
      <c r="I100" s="193" t="s">
        <v>24</v>
      </c>
      <c r="J100" s="193" t="s">
        <v>23</v>
      </c>
      <c r="K100" s="185" t="str">
        <f>IF(I100="","",VLOOKUP(J100,'Lookup Table (2)'!$O$3:$S$7,MATCH(I100,'Lookup Table (2)'!$O$3:$S$3,0),FALSE))</f>
        <v>Low</v>
      </c>
      <c r="L100" s="169"/>
      <c r="M100" s="169"/>
      <c r="N100" s="169"/>
      <c r="O100" s="185" t="str">
        <f t="shared" si="7"/>
        <v>Low</v>
      </c>
      <c r="P100" s="134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99"/>
      <c r="AF100" s="99"/>
      <c r="AG100" s="99"/>
      <c r="AH100" s="99"/>
      <c r="AI100" s="99"/>
      <c r="AJ100" s="99"/>
      <c r="AK100" s="99"/>
      <c r="AL100" s="99"/>
      <c r="AM100" s="99"/>
      <c r="AN100" s="99"/>
      <c r="AO100" s="99"/>
      <c r="AP100" s="99"/>
      <c r="AQ100" s="99"/>
      <c r="AR100" s="99"/>
    </row>
    <row r="101" spans="1:52" s="8" customFormat="1" ht="30" customHeight="1">
      <c r="A101" s="195">
        <v>5</v>
      </c>
      <c r="B101" s="197" t="s">
        <v>496</v>
      </c>
      <c r="C101" s="191" t="s">
        <v>251</v>
      </c>
      <c r="D101" s="191" t="s">
        <v>320</v>
      </c>
      <c r="E101" s="197" t="s">
        <v>450</v>
      </c>
      <c r="F101" s="194" t="s">
        <v>399</v>
      </c>
      <c r="G101" s="188" t="s">
        <v>451</v>
      </c>
      <c r="H101" s="193" t="s">
        <v>102</v>
      </c>
      <c r="I101" s="193" t="s">
        <v>24</v>
      </c>
      <c r="J101" s="193" t="s">
        <v>31</v>
      </c>
      <c r="K101" s="185" t="str">
        <f>IF(I101="","",VLOOKUP(J101,'Lookup Table (2)'!$O$3:$S$7,MATCH(I101,'Lookup Table (2)'!$O$3:$S$3,0),FALSE))</f>
        <v>Low</v>
      </c>
      <c r="L101" s="169"/>
      <c r="M101" s="169"/>
      <c r="N101" s="169"/>
      <c r="O101" s="185" t="str">
        <f t="shared" si="7"/>
        <v>Low</v>
      </c>
      <c r="P101" s="134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99"/>
      <c r="AF101" s="99"/>
      <c r="AG101" s="99"/>
      <c r="AH101" s="99"/>
      <c r="AI101" s="99"/>
      <c r="AJ101" s="99"/>
      <c r="AK101" s="99"/>
      <c r="AL101" s="99"/>
      <c r="AM101" s="99"/>
      <c r="AN101" s="99"/>
      <c r="AO101" s="99"/>
      <c r="AP101" s="99"/>
      <c r="AQ101" s="99"/>
      <c r="AR101" s="99"/>
    </row>
    <row r="102" spans="1:52" s="8" customFormat="1" ht="30" customHeight="1">
      <c r="A102" s="195">
        <v>6</v>
      </c>
      <c r="B102" s="197" t="s">
        <v>463</v>
      </c>
      <c r="C102" s="191" t="s">
        <v>283</v>
      </c>
      <c r="D102" s="191" t="s">
        <v>299</v>
      </c>
      <c r="E102" s="197" t="s">
        <v>464</v>
      </c>
      <c r="F102" s="197" t="s">
        <v>398</v>
      </c>
      <c r="G102" s="188" t="s">
        <v>409</v>
      </c>
      <c r="H102" s="193" t="s">
        <v>102</v>
      </c>
      <c r="I102" s="193" t="s">
        <v>24</v>
      </c>
      <c r="J102" s="193" t="s">
        <v>23</v>
      </c>
      <c r="K102" s="185" t="str">
        <f>IF(I102="","",VLOOKUP(J102,'Lookup Table (2)'!$O$3:$S$7,MATCH(I102,'Lookup Table (2)'!$O$3:$S$3,0),FALSE))</f>
        <v>Low</v>
      </c>
      <c r="L102" s="169"/>
      <c r="M102" s="169"/>
      <c r="N102" s="169"/>
      <c r="O102" s="185" t="str">
        <f t="shared" si="7"/>
        <v>Low</v>
      </c>
      <c r="P102" s="134" t="e">
        <f>IF(#REF!="","",_xlfn.IFNA(VLOOKUP(#REF!,$AZ$4:$BA$8,2,FALSE)*VLOOKUP(#REF!,$AX$4:$AY$8,2,FALSE),""))</f>
        <v>#REF!</v>
      </c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99"/>
      <c r="AF102" s="99"/>
      <c r="AG102" s="99"/>
      <c r="AH102" s="99"/>
      <c r="AI102" s="99"/>
      <c r="AJ102" s="99"/>
      <c r="AK102" s="99"/>
      <c r="AL102" s="99"/>
      <c r="AM102" s="99"/>
      <c r="AN102" s="99"/>
      <c r="AO102" s="99"/>
      <c r="AP102" s="99"/>
      <c r="AQ102" s="99"/>
      <c r="AR102" s="99"/>
    </row>
    <row r="103" spans="1:52" s="8" customFormat="1" ht="30" customHeight="1">
      <c r="A103" s="195">
        <v>7</v>
      </c>
      <c r="B103" s="197" t="s">
        <v>465</v>
      </c>
      <c r="C103" s="191" t="s">
        <v>283</v>
      </c>
      <c r="D103" s="191" t="s">
        <v>299</v>
      </c>
      <c r="E103" s="197" t="s">
        <v>466</v>
      </c>
      <c r="F103" s="197" t="s">
        <v>398</v>
      </c>
      <c r="G103" s="188" t="s">
        <v>409</v>
      </c>
      <c r="H103" s="193" t="s">
        <v>102</v>
      </c>
      <c r="I103" s="193" t="s">
        <v>24</v>
      </c>
      <c r="J103" s="193" t="s">
        <v>23</v>
      </c>
      <c r="K103" s="185" t="str">
        <f>IF(I103="","",VLOOKUP(J103,'Lookup Table (2)'!$O$3:$S$7,MATCH(I103,'Lookup Table (2)'!$O$3:$S$3,0),FALSE))</f>
        <v>Low</v>
      </c>
      <c r="L103" s="169"/>
      <c r="M103" s="169"/>
      <c r="N103" s="169"/>
      <c r="O103" s="185" t="str">
        <f t="shared" si="7"/>
        <v>Low</v>
      </c>
      <c r="P103" s="134" t="str">
        <f>IF(K110="","",_xlfn.IFNA(VLOOKUP($K110,$AZ$4:$BA$8,2,FALSE)*VLOOKUP($M110,$AX$4:$AY$8,2,FALSE),""))</f>
        <v/>
      </c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  <c r="AE103" s="99"/>
      <c r="AF103" s="99"/>
      <c r="AG103" s="99"/>
      <c r="AH103" s="99"/>
      <c r="AI103" s="99"/>
      <c r="AJ103" s="99"/>
      <c r="AK103" s="99"/>
      <c r="AL103" s="99"/>
      <c r="AM103" s="99"/>
      <c r="AN103" s="99"/>
      <c r="AO103" s="99"/>
      <c r="AP103" s="99"/>
      <c r="AQ103" s="99"/>
      <c r="AR103" s="99"/>
    </row>
    <row r="104" spans="1:52" s="8" customFormat="1" ht="63.75" customHeight="1">
      <c r="A104" s="195">
        <v>8</v>
      </c>
      <c r="B104" s="197" t="s">
        <v>452</v>
      </c>
      <c r="C104" s="191" t="s">
        <v>252</v>
      </c>
      <c r="D104" s="191" t="s">
        <v>309</v>
      </c>
      <c r="E104" s="197" t="s">
        <v>453</v>
      </c>
      <c r="F104" s="194" t="s">
        <v>454</v>
      </c>
      <c r="G104" s="188" t="s">
        <v>455</v>
      </c>
      <c r="H104" s="193" t="s">
        <v>102</v>
      </c>
      <c r="I104" s="193" t="s">
        <v>33</v>
      </c>
      <c r="J104" s="193" t="s">
        <v>23</v>
      </c>
      <c r="K104" s="185" t="str">
        <f>IF(I104="","",VLOOKUP(J104,'Lookup Table (2)'!$O$3:$S$7,MATCH(I104,'Lookup Table (2)'!$O$3:$S$3,0),FALSE))</f>
        <v>Low</v>
      </c>
      <c r="L104" s="169"/>
      <c r="M104" s="169"/>
      <c r="N104" s="169"/>
      <c r="O104" s="185" t="str">
        <f t="shared" si="7"/>
        <v>Low</v>
      </c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  <c r="AI104" s="99"/>
      <c r="AJ104" s="99"/>
      <c r="AK104" s="99"/>
      <c r="AL104" s="99"/>
      <c r="AM104" s="99"/>
      <c r="AN104" s="99"/>
      <c r="AO104" s="99"/>
      <c r="AP104" s="99"/>
      <c r="AQ104" s="99"/>
    </row>
    <row r="105" spans="1:52" s="8" customFormat="1" ht="61.2" customHeight="1">
      <c r="A105" s="196"/>
      <c r="B105" s="202" t="s">
        <v>489</v>
      </c>
      <c r="C105" s="191"/>
      <c r="D105" s="191"/>
      <c r="E105" s="197"/>
      <c r="F105" s="194"/>
      <c r="G105" s="188"/>
      <c r="H105" s="193"/>
      <c r="I105" s="193"/>
      <c r="J105" s="193"/>
      <c r="K105" s="185"/>
      <c r="L105" s="169"/>
      <c r="M105" s="169"/>
      <c r="N105" s="169"/>
      <c r="O105" s="185">
        <f t="shared" si="7"/>
        <v>0</v>
      </c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99"/>
      <c r="AI105" s="99"/>
      <c r="AJ105" s="99"/>
      <c r="AK105" s="99"/>
      <c r="AL105" s="99"/>
      <c r="AM105" s="99"/>
      <c r="AN105" s="99"/>
      <c r="AO105" s="99"/>
      <c r="AP105" s="99"/>
      <c r="AQ105" s="99"/>
    </row>
    <row r="106" spans="1:52" s="8" customFormat="1" ht="30" customHeight="1">
      <c r="A106" s="195">
        <v>1</v>
      </c>
      <c r="B106" s="197" t="s">
        <v>490</v>
      </c>
      <c r="C106" s="191" t="s">
        <v>283</v>
      </c>
      <c r="D106" s="191" t="s">
        <v>299</v>
      </c>
      <c r="E106" s="197" t="s">
        <v>492</v>
      </c>
      <c r="F106" s="194" t="s">
        <v>398</v>
      </c>
      <c r="G106" s="188" t="s">
        <v>409</v>
      </c>
      <c r="H106" s="193" t="s">
        <v>102</v>
      </c>
      <c r="I106" s="193" t="s">
        <v>24</v>
      </c>
      <c r="J106" s="193" t="s">
        <v>23</v>
      </c>
      <c r="K106" s="185" t="str">
        <f>IF(I106="","",VLOOKUP(J106,'Lookup Table (2)'!$O$3:$S$7,MATCH(I106,'Lookup Table (2)'!$O$3:$S$3,0),FALSE))</f>
        <v>Low</v>
      </c>
      <c r="L106" s="169"/>
      <c r="M106" s="169"/>
      <c r="N106" s="169"/>
      <c r="O106" s="185" t="str">
        <f t="shared" si="7"/>
        <v>Low</v>
      </c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  <c r="AI106" s="99"/>
      <c r="AJ106" s="99"/>
      <c r="AK106" s="99"/>
      <c r="AL106" s="99"/>
      <c r="AM106" s="99"/>
      <c r="AN106" s="99"/>
      <c r="AO106" s="99"/>
      <c r="AP106" s="99"/>
      <c r="AQ106" s="99"/>
    </row>
    <row r="107" spans="1:52" s="8" customFormat="1" ht="30" customHeight="1">
      <c r="A107" s="195">
        <v>2</v>
      </c>
      <c r="B107" s="197" t="s">
        <v>490</v>
      </c>
      <c r="C107" s="191" t="s">
        <v>254</v>
      </c>
      <c r="D107" s="191" t="s">
        <v>339</v>
      </c>
      <c r="E107" s="197" t="s">
        <v>493</v>
      </c>
      <c r="F107" s="194" t="s">
        <v>373</v>
      </c>
      <c r="G107" s="188" t="s">
        <v>494</v>
      </c>
      <c r="H107" s="193" t="s">
        <v>102</v>
      </c>
      <c r="I107" s="193" t="s">
        <v>24</v>
      </c>
      <c r="J107" s="193" t="s">
        <v>23</v>
      </c>
      <c r="K107" s="185" t="str">
        <f>IF(I107="","",VLOOKUP(J107,'Lookup Table (2)'!$O$3:$S$7,MATCH(I107,'Lookup Table (2)'!$O$3:$S$3,0),FALSE))</f>
        <v>Low</v>
      </c>
      <c r="L107" s="169"/>
      <c r="M107" s="169"/>
      <c r="N107" s="169"/>
      <c r="O107" s="185" t="str">
        <f t="shared" si="7"/>
        <v>Low</v>
      </c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  <c r="AH107" s="99"/>
      <c r="AI107" s="99"/>
      <c r="AJ107" s="99"/>
      <c r="AK107" s="99"/>
      <c r="AL107" s="99"/>
      <c r="AM107" s="99"/>
      <c r="AN107" s="99"/>
      <c r="AO107" s="99"/>
      <c r="AP107" s="99"/>
      <c r="AQ107" s="99"/>
    </row>
    <row r="108" spans="1:52" s="8" customFormat="1" ht="30" customHeight="1">
      <c r="A108" s="195">
        <v>3</v>
      </c>
      <c r="B108" s="197" t="s">
        <v>491</v>
      </c>
      <c r="C108" s="191" t="s">
        <v>287</v>
      </c>
      <c r="D108" s="191" t="s">
        <v>348</v>
      </c>
      <c r="E108" s="197" t="s">
        <v>495</v>
      </c>
      <c r="F108" s="194" t="s">
        <v>373</v>
      </c>
      <c r="G108" s="188" t="s">
        <v>494</v>
      </c>
      <c r="H108" s="193" t="s">
        <v>102</v>
      </c>
      <c r="I108" s="193" t="s">
        <v>24</v>
      </c>
      <c r="J108" s="193" t="s">
        <v>23</v>
      </c>
      <c r="K108" s="185" t="str">
        <f>IF(I108="","",VLOOKUP(J108,'Lookup Table (2)'!$O$3:$S$7,MATCH(I108,'Lookup Table (2)'!$O$3:$S$3,0),FALSE))</f>
        <v>Low</v>
      </c>
      <c r="L108" s="169"/>
      <c r="M108" s="169"/>
      <c r="N108" s="169"/>
      <c r="O108" s="185" t="str">
        <f t="shared" si="7"/>
        <v>Low</v>
      </c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  <c r="AI108" s="99"/>
      <c r="AJ108" s="99"/>
      <c r="AK108" s="99"/>
      <c r="AL108" s="99"/>
      <c r="AM108" s="99"/>
      <c r="AN108" s="99"/>
      <c r="AO108" s="99"/>
      <c r="AP108" s="99"/>
      <c r="AQ108" s="99"/>
    </row>
    <row r="109" spans="1:52" s="8" customFormat="1" ht="30" customHeight="1">
      <c r="A109" s="195">
        <v>4</v>
      </c>
      <c r="B109" s="197" t="s">
        <v>497</v>
      </c>
      <c r="C109" s="191"/>
      <c r="D109" s="191"/>
      <c r="E109" s="197" t="s">
        <v>266</v>
      </c>
      <c r="F109" s="194"/>
      <c r="G109" s="188"/>
      <c r="H109" s="193"/>
      <c r="I109" s="193"/>
      <c r="J109" s="193"/>
      <c r="K109" s="185"/>
      <c r="L109" s="169"/>
      <c r="M109" s="169"/>
      <c r="N109" s="169"/>
      <c r="O109" s="187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  <c r="AI109" s="99"/>
      <c r="AJ109" s="99"/>
      <c r="AK109" s="99"/>
      <c r="AL109" s="99"/>
      <c r="AM109" s="99"/>
      <c r="AN109" s="99"/>
      <c r="AO109" s="99"/>
      <c r="AP109" s="99"/>
      <c r="AQ109" s="99"/>
    </row>
    <row r="110" spans="1:52" s="8" customFormat="1" ht="30" customHeight="1">
      <c r="A110" s="170"/>
      <c r="B110" s="169"/>
      <c r="C110" s="138"/>
      <c r="D110" s="184"/>
      <c r="E110" s="169"/>
      <c r="F110" s="197"/>
      <c r="G110" s="127"/>
      <c r="H110" s="132"/>
      <c r="I110" s="132"/>
      <c r="J110" s="132"/>
      <c r="K110" s="185" t="str">
        <f>IF(I110="","",VLOOKUP(J110,'Lookup Table (2)'!$O$3:$S$7,MATCH(I110,'Lookup Table (2)'!$O$3:$S$3,0),FALSE))</f>
        <v/>
      </c>
      <c r="L110" s="169"/>
      <c r="M110" s="169"/>
      <c r="N110" s="169"/>
      <c r="O110" s="187"/>
    </row>
    <row r="111" spans="1:52" s="8" customFormat="1" ht="30" customHeight="1">
      <c r="A111" s="250" t="s">
        <v>334</v>
      </c>
      <c r="B111" s="250"/>
      <c r="C111" s="250"/>
      <c r="D111" s="250"/>
      <c r="F111" s="11"/>
      <c r="G111" s="205"/>
      <c r="H111" s="205"/>
      <c r="I111" s="205"/>
      <c r="J111" s="205"/>
      <c r="K111" s="205"/>
      <c r="L111" s="1"/>
      <c r="M111" s="1"/>
      <c r="N111" s="7"/>
      <c r="O111" s="99"/>
    </row>
    <row r="112" spans="1:52" s="8" customFormat="1" ht="30" customHeight="1" thickBot="1">
      <c r="A112" s="249" t="s">
        <v>335</v>
      </c>
      <c r="B112" s="249"/>
      <c r="C112" s="11"/>
      <c r="D112" s="11"/>
      <c r="E112" s="11"/>
      <c r="F112" s="11"/>
      <c r="G112" s="128"/>
      <c r="H112" s="128"/>
      <c r="I112" s="128"/>
      <c r="J112" s="11"/>
      <c r="K112" s="11"/>
      <c r="L112" s="1"/>
      <c r="M112" s="1"/>
      <c r="N112" s="7"/>
      <c r="O112" s="99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3" s="8" customFormat="1" ht="30" customHeight="1" thickBot="1">
      <c r="A113" s="9" t="s">
        <v>11</v>
      </c>
      <c r="B113" s="12" t="s">
        <v>333</v>
      </c>
      <c r="C113" s="12" t="s">
        <v>200</v>
      </c>
      <c r="D113" s="11"/>
      <c r="E113" s="11"/>
      <c r="F113" s="11"/>
      <c r="G113" s="128"/>
      <c r="H113" s="128"/>
      <c r="I113" s="128"/>
      <c r="J113" s="11"/>
      <c r="K113" s="11"/>
      <c r="L113" s="1"/>
      <c r="M113" s="1"/>
      <c r="N113" s="7"/>
      <c r="O113" s="99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ht="24" thickBot="1">
      <c r="A114" s="9">
        <v>1</v>
      </c>
      <c r="B114" s="200" t="s">
        <v>374</v>
      </c>
      <c r="C114" s="12"/>
      <c r="J114" s="1"/>
      <c r="N114" s="7"/>
      <c r="O114" s="99"/>
    </row>
    <row r="115" spans="1:53" ht="24" thickBot="1">
      <c r="A115" s="9">
        <v>2</v>
      </c>
      <c r="B115" s="200" t="s">
        <v>381</v>
      </c>
      <c r="C115" s="12"/>
      <c r="J115" s="1"/>
      <c r="N115" s="7"/>
      <c r="O115" s="99"/>
    </row>
    <row r="116" spans="1:53" ht="24" thickBot="1">
      <c r="A116" s="9">
        <v>3</v>
      </c>
      <c r="B116" s="200" t="s">
        <v>376</v>
      </c>
      <c r="C116" s="12"/>
      <c r="J116" s="1"/>
      <c r="N116" s="7"/>
      <c r="O116" s="99"/>
    </row>
    <row r="117" spans="1:53" ht="24" thickBot="1">
      <c r="A117" s="9">
        <v>4</v>
      </c>
      <c r="B117" s="200" t="s">
        <v>377</v>
      </c>
      <c r="C117" s="12"/>
      <c r="J117" s="1"/>
      <c r="N117" s="7"/>
      <c r="O117" s="8"/>
    </row>
    <row r="118" spans="1:53" ht="24" thickBot="1">
      <c r="A118" s="9">
        <v>5</v>
      </c>
      <c r="B118" s="200" t="s">
        <v>375</v>
      </c>
      <c r="C118" s="12"/>
      <c r="J118" s="1"/>
      <c r="N118" s="7"/>
      <c r="O118" s="8"/>
    </row>
    <row r="119" spans="1:53" ht="24" thickBot="1">
      <c r="A119" s="9">
        <v>6</v>
      </c>
      <c r="B119" s="200" t="s">
        <v>498</v>
      </c>
      <c r="C119" s="12"/>
      <c r="J119" s="1"/>
      <c r="N119" s="7"/>
      <c r="O119" s="8"/>
    </row>
    <row r="120" spans="1:53" ht="24" thickBot="1">
      <c r="A120" s="9">
        <v>7</v>
      </c>
      <c r="B120" s="200" t="s">
        <v>499</v>
      </c>
      <c r="C120" s="12"/>
      <c r="J120" s="1"/>
      <c r="N120" s="7"/>
      <c r="O120" s="8"/>
    </row>
    <row r="121" spans="1:53" ht="24" thickBot="1">
      <c r="A121" s="9">
        <v>8</v>
      </c>
      <c r="B121" s="10"/>
      <c r="C121" s="12"/>
      <c r="J121" s="1"/>
      <c r="N121" s="7"/>
    </row>
    <row r="122" spans="1:53" ht="23.4">
      <c r="A122" s="8"/>
      <c r="O122" s="8"/>
    </row>
  </sheetData>
  <mergeCells count="38">
    <mergeCell ref="A112:B112"/>
    <mergeCell ref="A111:D111"/>
    <mergeCell ref="B2:N2"/>
    <mergeCell ref="B3:N3"/>
    <mergeCell ref="B4:N4"/>
    <mergeCell ref="C13:K13"/>
    <mergeCell ref="L13:O13"/>
    <mergeCell ref="A11:B11"/>
    <mergeCell ref="A13:A14"/>
    <mergeCell ref="A9:B9"/>
    <mergeCell ref="A10:B10"/>
    <mergeCell ref="A7:B7"/>
    <mergeCell ref="A8:B8"/>
    <mergeCell ref="A2:A4"/>
    <mergeCell ref="A5:B6"/>
    <mergeCell ref="M5:O5"/>
    <mergeCell ref="K5:L5"/>
    <mergeCell ref="B13:B14"/>
    <mergeCell ref="C11:D11"/>
    <mergeCell ref="K6:L6"/>
    <mergeCell ref="F5:J5"/>
    <mergeCell ref="F6:J6"/>
    <mergeCell ref="C5:D6"/>
    <mergeCell ref="C7:D7"/>
    <mergeCell ref="C8:D8"/>
    <mergeCell ref="C9:D9"/>
    <mergeCell ref="C10:D10"/>
    <mergeCell ref="F7:G8"/>
    <mergeCell ref="G111:K111"/>
    <mergeCell ref="K7:L8"/>
    <mergeCell ref="H7:J8"/>
    <mergeCell ref="H10:J10"/>
    <mergeCell ref="M6:O6"/>
    <mergeCell ref="M7:O8"/>
    <mergeCell ref="M9:O9"/>
    <mergeCell ref="M10:O10"/>
    <mergeCell ref="K11:L11"/>
    <mergeCell ref="K9:L9"/>
  </mergeCells>
  <conditionalFormatting sqref="K5:K7 L12:O12 K112:K121 L122:L1048576 L15:L110">
    <cfRule type="cellIs" dxfId="20" priority="28" operator="equal">
      <formula>"1C"</formula>
    </cfRule>
    <cfRule type="cellIs" dxfId="19" priority="29" operator="equal">
      <formula>"1D"</formula>
    </cfRule>
    <cfRule type="cellIs" dxfId="18" priority="30" operator="equal">
      <formula>"2D"</formula>
    </cfRule>
    <cfRule type="cellIs" dxfId="17" priority="31" operator="equal">
      <formula>"4D"</formula>
    </cfRule>
    <cfRule type="cellIs" dxfId="16" priority="32" operator="equal">
      <formula>"4C"</formula>
    </cfRule>
    <cfRule type="cellIs" dxfId="15" priority="33" operator="equal">
      <formula>"3D"</formula>
    </cfRule>
    <cfRule type="cellIs" dxfId="14" priority="34" operator="equal">
      <formula>"3C"</formula>
    </cfRule>
    <cfRule type="cellIs" dxfId="13" priority="35" operator="equal">
      <formula>"2C"</formula>
    </cfRule>
    <cfRule type="cellIs" dxfId="12" priority="36" operator="equal">
      <formula>"2B"</formula>
    </cfRule>
    <cfRule type="cellIs" dxfId="11" priority="37" operator="equal">
      <formula>"1B"</formula>
    </cfRule>
    <cfRule type="cellIs" dxfId="10" priority="38" operator="equal">
      <formula>"1A"</formula>
    </cfRule>
    <cfRule type="cellIs" dxfId="9" priority="39" operator="equal">
      <formula>"2A"</formula>
    </cfRule>
    <cfRule type="cellIs" dxfId="8" priority="40" operator="equal">
      <formula>"3B"</formula>
    </cfRule>
    <cfRule type="cellIs" dxfId="7" priority="41" operator="equal">
      <formula>"3A"</formula>
    </cfRule>
    <cfRule type="cellIs" dxfId="6" priority="42" operator="equal">
      <formula>"4B"</formula>
    </cfRule>
    <cfRule type="cellIs" dxfId="5" priority="43" operator="equal">
      <formula>"4A"</formula>
    </cfRule>
  </conditionalFormatting>
  <conditionalFormatting sqref="K15:K110 O15:O110">
    <cfRule type="cellIs" dxfId="4" priority="21" operator="equal">
      <formula>"Catastrophic"</formula>
    </cfRule>
    <cfRule type="cellIs" dxfId="3" priority="22" operator="equal">
      <formula>"Critical"</formula>
    </cfRule>
    <cfRule type="cellIs" dxfId="2" priority="23" operator="equal">
      <formula>"High"</formula>
    </cfRule>
    <cfRule type="cellIs" dxfId="1" priority="24" operator="equal">
      <formula>"Moderate"</formula>
    </cfRule>
    <cfRule type="cellIs" dxfId="0" priority="25" operator="equal">
      <formula>"Low"</formula>
    </cfRule>
  </conditionalFormatting>
  <dataValidations count="2">
    <dataValidation type="list" allowBlank="1" showInputMessage="1" showErrorMessage="1" sqref="M15:M110 H15:H110" xr:uid="{FDEDFE6A-09CB-48CD-9F73-20A7894B2B91}">
      <formula1>$AG$3:$AG$7</formula1>
    </dataValidation>
    <dataValidation type="list" showInputMessage="1" showErrorMessage="1" sqref="D15:D110" xr:uid="{832CAB2F-3E56-46B6-96A5-BDEC10CAED94}">
      <formula1>INDIRECT(SUBSTITUTE(C15," ","_"))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8" scale="29" fitToHeight="0" orientation="landscape" r:id="rId1"/>
  <headerFooter>
    <oddFooter>&amp;C_x000D_&amp;1#&amp;"Calibri"&amp;8&amp;K000000 PMI Public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67E4F3B-33EB-49D5-8609-586911C323D9}">
          <x14:formula1>
            <xm:f>'New Listis '!$A$1:$AL$1</xm:f>
          </x14:formula1>
          <xm:sqref>C15</xm:sqref>
        </x14:dataValidation>
        <x14:dataValidation type="list" allowBlank="1" showInputMessage="1" showErrorMessage="1" xr:uid="{8322D285-B23E-438D-AF48-DA6B7890CDA7}">
          <x14:formula1>
            <xm:f>'Lookup Table (2)'!$D$3:$D$6</xm:f>
          </x14:formula1>
          <xm:sqref>I15:I110</xm:sqref>
        </x14:dataValidation>
        <x14:dataValidation type="list" allowBlank="1" showInputMessage="1" showErrorMessage="1" xr:uid="{0D233AC2-AE75-46A2-85C5-D0EC934B7B3A}">
          <x14:formula1>
            <xm:f>'Lookup Table (2)'!$A$3:$A$6</xm:f>
          </x14:formula1>
          <xm:sqref>J15:J110</xm:sqref>
        </x14:dataValidation>
        <x14:dataValidation type="list" allowBlank="1" showInputMessage="1" showErrorMessage="1" xr:uid="{5296FB22-DCF6-420B-A871-74E3DB9240C1}">
          <x14:formula1>
            <xm:f>'New Listis '!$A$1:$AK$1</xm:f>
          </x14:formula1>
          <xm:sqref>C16:C110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7F14-1F0C-48AC-B2A4-425319892CC0}">
  <dimension ref="A1:H57"/>
  <sheetViews>
    <sheetView showGridLines="0" topLeftCell="A9" zoomScale="75" zoomScaleNormal="127" workbookViewId="0">
      <selection activeCell="A34" sqref="A34"/>
    </sheetView>
  </sheetViews>
  <sheetFormatPr defaultColWidth="9.109375" defaultRowHeight="14.4"/>
  <cols>
    <col min="1" max="1" width="48.109375" customWidth="1"/>
    <col min="2" max="2" width="30.109375" customWidth="1"/>
    <col min="3" max="3" width="12" bestFit="1" customWidth="1"/>
    <col min="4" max="4" width="14" bestFit="1" customWidth="1"/>
    <col min="5" max="5" width="18.88671875" bestFit="1" customWidth="1"/>
  </cols>
  <sheetData>
    <row r="1" spans="1:5" ht="18">
      <c r="A1" s="159" t="s">
        <v>237</v>
      </c>
      <c r="B1" s="159" t="s">
        <v>238</v>
      </c>
      <c r="C1" s="151" t="s">
        <v>239</v>
      </c>
      <c r="D1" s="152" t="s">
        <v>29</v>
      </c>
      <c r="E1" s="151" t="s">
        <v>240</v>
      </c>
    </row>
    <row r="2" spans="1:5">
      <c r="A2" s="160" t="s">
        <v>277</v>
      </c>
      <c r="B2" s="160" t="s">
        <v>297</v>
      </c>
      <c r="C2" s="153" t="s">
        <v>24</v>
      </c>
      <c r="D2" s="154" t="s">
        <v>23</v>
      </c>
      <c r="E2" s="153" t="s">
        <v>26</v>
      </c>
    </row>
    <row r="3" spans="1:5">
      <c r="A3" s="160" t="s">
        <v>241</v>
      </c>
      <c r="B3" s="167" t="s">
        <v>316</v>
      </c>
      <c r="C3" s="153" t="s">
        <v>33</v>
      </c>
      <c r="D3" s="154" t="s">
        <v>31</v>
      </c>
      <c r="E3" s="153" t="s">
        <v>33</v>
      </c>
    </row>
    <row r="4" spans="1:5">
      <c r="A4" s="160" t="s">
        <v>243</v>
      </c>
      <c r="B4" s="161" t="s">
        <v>310</v>
      </c>
      <c r="C4" s="153" t="s">
        <v>30</v>
      </c>
      <c r="D4" s="154" t="s">
        <v>37</v>
      </c>
      <c r="E4" s="153" t="s">
        <v>36</v>
      </c>
    </row>
    <row r="5" spans="1:5">
      <c r="A5" s="160" t="s">
        <v>283</v>
      </c>
      <c r="B5" s="160" t="s">
        <v>311</v>
      </c>
      <c r="C5" s="153" t="s">
        <v>47</v>
      </c>
      <c r="D5" s="154" t="s">
        <v>185</v>
      </c>
      <c r="E5" s="153" t="s">
        <v>43</v>
      </c>
    </row>
    <row r="6" spans="1:5">
      <c r="A6" s="160" t="s">
        <v>276</v>
      </c>
      <c r="B6" s="168" t="s">
        <v>322</v>
      </c>
      <c r="E6" s="153" t="s">
        <v>47</v>
      </c>
    </row>
    <row r="7" spans="1:5">
      <c r="A7" s="160" t="s">
        <v>261</v>
      </c>
      <c r="B7" s="168" t="s">
        <v>320</v>
      </c>
    </row>
    <row r="8" spans="1:5">
      <c r="A8" s="160" t="s">
        <v>253</v>
      </c>
      <c r="B8" s="168" t="s">
        <v>323</v>
      </c>
    </row>
    <row r="9" spans="1:5">
      <c r="A9" s="160" t="s">
        <v>252</v>
      </c>
      <c r="B9" s="168" t="s">
        <v>321</v>
      </c>
    </row>
    <row r="10" spans="1:5">
      <c r="A10" s="160" t="s">
        <v>271</v>
      </c>
      <c r="B10" s="160" t="s">
        <v>262</v>
      </c>
    </row>
    <row r="11" spans="1:5">
      <c r="A11" s="160" t="s">
        <v>263</v>
      </c>
      <c r="B11" s="168" t="s">
        <v>328</v>
      </c>
    </row>
    <row r="12" spans="1:5">
      <c r="A12" s="160" t="s">
        <v>285</v>
      </c>
      <c r="B12" s="168" t="s">
        <v>319</v>
      </c>
    </row>
    <row r="13" spans="1:5">
      <c r="A13" s="161" t="s">
        <v>294</v>
      </c>
      <c r="B13" s="160" t="s">
        <v>242</v>
      </c>
    </row>
    <row r="14" spans="1:5">
      <c r="A14" s="162" t="s">
        <v>306</v>
      </c>
      <c r="B14" s="160" t="s">
        <v>264</v>
      </c>
    </row>
    <row r="15" spans="1:5">
      <c r="A15" s="162" t="s">
        <v>305</v>
      </c>
      <c r="B15" s="160" t="s">
        <v>278</v>
      </c>
    </row>
    <row r="16" spans="1:5">
      <c r="A16" s="160" t="s">
        <v>300</v>
      </c>
      <c r="B16" s="168" t="s">
        <v>327</v>
      </c>
    </row>
    <row r="17" spans="1:8">
      <c r="A17" s="160" t="s">
        <v>254</v>
      </c>
      <c r="B17" s="160" t="s">
        <v>268</v>
      </c>
    </row>
    <row r="18" spans="1:8">
      <c r="A18" s="160" t="s">
        <v>250</v>
      </c>
      <c r="B18" s="160" t="s">
        <v>246</v>
      </c>
    </row>
    <row r="19" spans="1:8">
      <c r="A19" s="160" t="s">
        <v>245</v>
      </c>
      <c r="B19" s="160" t="s">
        <v>244</v>
      </c>
    </row>
    <row r="20" spans="1:8">
      <c r="A20" s="160" t="s">
        <v>251</v>
      </c>
      <c r="B20" s="160" t="s">
        <v>279</v>
      </c>
    </row>
    <row r="21" spans="1:8">
      <c r="A21" s="160" t="s">
        <v>298</v>
      </c>
      <c r="B21" s="168" t="s">
        <v>326</v>
      </c>
    </row>
    <row r="22" spans="1:8">
      <c r="A22" s="160" t="s">
        <v>258</v>
      </c>
      <c r="B22" s="160" t="s">
        <v>314</v>
      </c>
    </row>
    <row r="23" spans="1:8">
      <c r="A23" s="160" t="s">
        <v>259</v>
      </c>
      <c r="B23" s="168" t="s">
        <v>325</v>
      </c>
    </row>
    <row r="24" spans="1:8">
      <c r="A24" s="157" t="s">
        <v>257</v>
      </c>
      <c r="B24" s="157" t="s">
        <v>302</v>
      </c>
    </row>
    <row r="25" spans="1:8">
      <c r="A25" s="160" t="s">
        <v>286</v>
      </c>
      <c r="B25" s="157" t="s">
        <v>299</v>
      </c>
    </row>
    <row r="26" spans="1:8">
      <c r="A26" s="160" t="s">
        <v>272</v>
      </c>
      <c r="B26" s="163" t="s">
        <v>312</v>
      </c>
    </row>
    <row r="27" spans="1:8">
      <c r="A27" s="160" t="s">
        <v>292</v>
      </c>
      <c r="B27" s="157" t="s">
        <v>313</v>
      </c>
    </row>
    <row r="28" spans="1:8">
      <c r="A28" s="160" t="s">
        <v>293</v>
      </c>
      <c r="B28" s="157" t="s">
        <v>255</v>
      </c>
    </row>
    <row r="29" spans="1:8">
      <c r="A29" s="160" t="s">
        <v>281</v>
      </c>
      <c r="B29" s="157" t="s">
        <v>260</v>
      </c>
    </row>
    <row r="30" spans="1:8" s="156" customFormat="1">
      <c r="A30" s="160" t="s">
        <v>317</v>
      </c>
      <c r="B30" s="157" t="s">
        <v>248</v>
      </c>
      <c r="C30"/>
      <c r="D30"/>
      <c r="E30"/>
      <c r="F30"/>
      <c r="G30"/>
      <c r="H30"/>
    </row>
    <row r="31" spans="1:8" s="156" customFormat="1">
      <c r="A31" s="160" t="s">
        <v>284</v>
      </c>
      <c r="B31" s="157" t="s">
        <v>303</v>
      </c>
      <c r="C31"/>
      <c r="D31"/>
      <c r="E31"/>
      <c r="F31"/>
      <c r="G31"/>
      <c r="H31"/>
    </row>
    <row r="32" spans="1:8" s="156" customFormat="1">
      <c r="A32" s="164" t="s">
        <v>273</v>
      </c>
      <c r="B32" s="157" t="s">
        <v>304</v>
      </c>
      <c r="C32"/>
      <c r="D32"/>
      <c r="E32"/>
      <c r="F32"/>
      <c r="G32"/>
      <c r="H32"/>
    </row>
    <row r="33" spans="1:8" s="156" customFormat="1" ht="15" customHeight="1">
      <c r="A33" s="165" t="s">
        <v>274</v>
      </c>
      <c r="B33" s="157" t="s">
        <v>309</v>
      </c>
      <c r="C33"/>
      <c r="D33"/>
      <c r="E33"/>
      <c r="F33"/>
      <c r="G33"/>
      <c r="H33"/>
    </row>
    <row r="34" spans="1:8" s="156" customFormat="1">
      <c r="A34" s="166" t="s">
        <v>267</v>
      </c>
      <c r="B34" s="157" t="s">
        <v>307</v>
      </c>
      <c r="C34"/>
      <c r="D34"/>
      <c r="E34"/>
      <c r="F34"/>
      <c r="G34"/>
      <c r="H34"/>
    </row>
    <row r="35" spans="1:8" s="156" customFormat="1">
      <c r="A35" s="160" t="s">
        <v>291</v>
      </c>
      <c r="B35" s="157" t="s">
        <v>308</v>
      </c>
      <c r="C35"/>
      <c r="D35"/>
      <c r="E35"/>
      <c r="F35"/>
      <c r="G35"/>
      <c r="H35"/>
    </row>
    <row r="36" spans="1:8" s="156" customFormat="1">
      <c r="A36" s="160" t="s">
        <v>282</v>
      </c>
      <c r="B36" s="157" t="s">
        <v>275</v>
      </c>
      <c r="C36"/>
      <c r="D36"/>
      <c r="E36"/>
      <c r="F36"/>
      <c r="G36"/>
      <c r="H36"/>
    </row>
    <row r="37" spans="1:8" s="156" customFormat="1">
      <c r="A37" s="160" t="s">
        <v>249</v>
      </c>
      <c r="B37" s="157" t="s">
        <v>270</v>
      </c>
      <c r="C37"/>
      <c r="D37"/>
      <c r="E37"/>
      <c r="F37"/>
      <c r="G37"/>
      <c r="H37"/>
    </row>
    <row r="38" spans="1:8" s="156" customFormat="1">
      <c r="A38" s="160" t="s">
        <v>287</v>
      </c>
      <c r="B38" s="157" t="s">
        <v>315</v>
      </c>
      <c r="C38"/>
      <c r="D38"/>
      <c r="E38"/>
      <c r="F38"/>
      <c r="G38"/>
      <c r="H38"/>
    </row>
    <row r="39" spans="1:8" s="156" customFormat="1">
      <c r="A39" s="160" t="s">
        <v>265</v>
      </c>
      <c r="B39" s="163" t="s">
        <v>324</v>
      </c>
      <c r="C39"/>
      <c r="D39"/>
      <c r="E39"/>
      <c r="F39"/>
      <c r="G39"/>
      <c r="H39"/>
    </row>
    <row r="40" spans="1:8" s="156" customFormat="1">
      <c r="A40" s="160" t="s">
        <v>290</v>
      </c>
      <c r="C40"/>
      <c r="D40"/>
      <c r="E40"/>
      <c r="F40"/>
      <c r="G40"/>
      <c r="H40"/>
    </row>
    <row r="41" spans="1:8" s="156" customFormat="1">
      <c r="A41" s="160" t="s">
        <v>280</v>
      </c>
      <c r="C41"/>
      <c r="D41"/>
      <c r="E41"/>
      <c r="F41"/>
      <c r="G41"/>
      <c r="H41"/>
    </row>
    <row r="42" spans="1:8" s="156" customFormat="1">
      <c r="A42" s="160" t="s">
        <v>269</v>
      </c>
      <c r="C42"/>
      <c r="D42"/>
      <c r="E42"/>
      <c r="F42"/>
      <c r="G42"/>
      <c r="H42"/>
    </row>
    <row r="43" spans="1:8" s="156" customFormat="1">
      <c r="A43" s="160" t="s">
        <v>295</v>
      </c>
      <c r="B43" s="157"/>
      <c r="C43"/>
      <c r="D43"/>
      <c r="E43"/>
      <c r="F43"/>
      <c r="G43"/>
      <c r="H43"/>
    </row>
    <row r="44" spans="1:8" s="156" customFormat="1">
      <c r="A44" s="160" t="s">
        <v>301</v>
      </c>
      <c r="B44" s="157"/>
    </row>
    <row r="45" spans="1:8">
      <c r="A45" s="160" t="s">
        <v>266</v>
      </c>
      <c r="B45" s="158"/>
    </row>
    <row r="46" spans="1:8">
      <c r="A46" s="157" t="s">
        <v>288</v>
      </c>
      <c r="B46" s="156"/>
    </row>
    <row r="47" spans="1:8">
      <c r="A47" s="157" t="s">
        <v>289</v>
      </c>
      <c r="B47" s="157"/>
    </row>
    <row r="48" spans="1:8">
      <c r="A48" s="157" t="s">
        <v>296</v>
      </c>
    </row>
    <row r="49" spans="1:2">
      <c r="A49" s="157" t="s">
        <v>247</v>
      </c>
    </row>
    <row r="50" spans="1:2">
      <c r="A50" s="157" t="s">
        <v>256</v>
      </c>
    </row>
    <row r="51" spans="1:2">
      <c r="A51" s="157" t="s">
        <v>318</v>
      </c>
      <c r="B51" s="158"/>
    </row>
    <row r="52" spans="1:2">
      <c r="A52" s="157" t="s">
        <v>329</v>
      </c>
      <c r="B52" s="155"/>
    </row>
    <row r="53" spans="1:2">
      <c r="B53" s="157"/>
    </row>
    <row r="54" spans="1:2">
      <c r="B54" s="157"/>
    </row>
    <row r="55" spans="1:2">
      <c r="B55" s="155"/>
    </row>
    <row r="56" spans="1:2">
      <c r="B56" s="156"/>
    </row>
    <row r="57" spans="1:2">
      <c r="B57" s="156"/>
    </row>
  </sheetData>
  <pageMargins left="0.7" right="0.7" top="0.75" bottom="0.75" header="0.3" footer="0.3"/>
  <pageSetup paperSize="8" orientation="landscape" r:id="rId1"/>
  <headerFooter>
    <oddFooter>&amp;C_x000D_&amp;1#&amp;"Calibri"&amp;8&amp;K000000 PMI Public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B081A-B6A0-4E53-8927-61AC3B8E3B3F}">
  <dimension ref="A1:AL10"/>
  <sheetViews>
    <sheetView topLeftCell="S1" zoomScale="130" zoomScaleNormal="130" workbookViewId="0">
      <selection activeCell="W10" sqref="A10:XFD10"/>
    </sheetView>
  </sheetViews>
  <sheetFormatPr defaultRowHeight="14.4"/>
  <cols>
    <col min="1" max="1" width="17" customWidth="1"/>
    <col min="2" max="2" width="11.5546875" customWidth="1"/>
    <col min="3" max="3" width="12.6640625" customWidth="1"/>
    <col min="4" max="4" width="10.6640625" customWidth="1"/>
    <col min="5" max="5" width="18.109375" bestFit="1" customWidth="1"/>
    <col min="6" max="6" width="9.88671875" customWidth="1"/>
    <col min="7" max="7" width="10.88671875" bestFit="1" customWidth="1"/>
    <col min="8" max="8" width="9.6640625" customWidth="1"/>
    <col min="9" max="9" width="11.6640625" customWidth="1"/>
    <col min="10" max="10" width="9.109375" customWidth="1"/>
    <col min="11" max="11" width="13.109375" customWidth="1"/>
    <col min="14" max="14" width="11.88671875" bestFit="1" customWidth="1"/>
    <col min="15" max="15" width="10.6640625" customWidth="1"/>
    <col min="16" max="16" width="14.44140625" customWidth="1"/>
    <col min="17" max="17" width="15.44140625" bestFit="1" customWidth="1"/>
    <col min="21" max="21" width="10.88671875" customWidth="1"/>
    <col min="22" max="22" width="7.6640625" customWidth="1"/>
    <col min="24" max="24" width="20.44140625" customWidth="1"/>
    <col min="26" max="26" width="18.44140625" customWidth="1"/>
    <col min="28" max="28" width="9.44140625" customWidth="1"/>
    <col min="29" max="29" width="15.109375" bestFit="1" customWidth="1"/>
    <col min="30" max="30" width="11.109375" customWidth="1"/>
    <col min="32" max="32" width="12.5546875" customWidth="1"/>
    <col min="33" max="33" width="10.109375" customWidth="1"/>
    <col min="34" max="34" width="11.109375" bestFit="1" customWidth="1"/>
    <col min="36" max="36" width="10.109375" bestFit="1" customWidth="1"/>
  </cols>
  <sheetData>
    <row r="1" spans="1:38" ht="48.6" customHeight="1">
      <c r="A1" s="178" t="s">
        <v>277</v>
      </c>
      <c r="B1" s="178" t="s">
        <v>241</v>
      </c>
      <c r="C1" s="178" t="s">
        <v>283</v>
      </c>
      <c r="D1" s="178" t="s">
        <v>276</v>
      </c>
      <c r="E1" s="178" t="s">
        <v>261</v>
      </c>
      <c r="F1" s="178" t="s">
        <v>253</v>
      </c>
      <c r="G1" s="178" t="s">
        <v>252</v>
      </c>
      <c r="H1" s="178" t="s">
        <v>271</v>
      </c>
      <c r="I1" s="178" t="s">
        <v>263</v>
      </c>
      <c r="J1" s="178" t="s">
        <v>294</v>
      </c>
      <c r="K1" s="178" t="s">
        <v>306</v>
      </c>
      <c r="L1" s="178" t="s">
        <v>364</v>
      </c>
      <c r="M1" s="178" t="s">
        <v>300</v>
      </c>
      <c r="N1" s="178" t="s">
        <v>254</v>
      </c>
      <c r="O1" s="178" t="s">
        <v>365</v>
      </c>
      <c r="P1" s="178" t="s">
        <v>245</v>
      </c>
      <c r="Q1" s="178" t="s">
        <v>251</v>
      </c>
      <c r="R1" s="178" t="s">
        <v>298</v>
      </c>
      <c r="S1" s="178" t="s">
        <v>366</v>
      </c>
      <c r="T1" s="178" t="s">
        <v>259</v>
      </c>
      <c r="U1" s="178" t="s">
        <v>367</v>
      </c>
      <c r="V1" s="178" t="s">
        <v>272</v>
      </c>
      <c r="W1" s="178" t="s">
        <v>292</v>
      </c>
      <c r="X1" s="178" t="s">
        <v>293</v>
      </c>
      <c r="Y1" s="178" t="s">
        <v>281</v>
      </c>
      <c r="Z1" s="178" t="s">
        <v>317</v>
      </c>
      <c r="AA1" s="178" t="s">
        <v>284</v>
      </c>
      <c r="AB1" s="178" t="s">
        <v>368</v>
      </c>
      <c r="AC1" s="178" t="s">
        <v>267</v>
      </c>
      <c r="AD1" s="178" t="s">
        <v>249</v>
      </c>
      <c r="AE1" s="178" t="s">
        <v>287</v>
      </c>
      <c r="AF1" s="178" t="s">
        <v>265</v>
      </c>
      <c r="AG1" s="178" t="s">
        <v>295</v>
      </c>
      <c r="AH1" s="178" t="s">
        <v>369</v>
      </c>
      <c r="AI1" s="178" t="s">
        <v>256</v>
      </c>
      <c r="AJ1" s="178" t="s">
        <v>370</v>
      </c>
      <c r="AK1" s="178" t="s">
        <v>329</v>
      </c>
      <c r="AL1" s="182" t="s">
        <v>354</v>
      </c>
    </row>
    <row r="2" spans="1:38">
      <c r="A2" s="175" t="s">
        <v>302</v>
      </c>
      <c r="B2" s="176" t="s">
        <v>337</v>
      </c>
      <c r="C2" s="176" t="s">
        <v>302</v>
      </c>
      <c r="D2" s="176" t="s">
        <v>313</v>
      </c>
      <c r="E2" s="176" t="s">
        <v>360</v>
      </c>
      <c r="F2" s="176" t="s">
        <v>109</v>
      </c>
      <c r="G2" s="176" t="s">
        <v>309</v>
      </c>
      <c r="H2" s="176" t="s">
        <v>321</v>
      </c>
      <c r="I2" s="176" t="s">
        <v>316</v>
      </c>
      <c r="J2" s="176" t="s">
        <v>302</v>
      </c>
      <c r="K2" s="176" t="s">
        <v>314</v>
      </c>
      <c r="L2" s="176" t="s">
        <v>307</v>
      </c>
      <c r="M2" s="176" t="s">
        <v>312</v>
      </c>
      <c r="N2" s="176" t="s">
        <v>339</v>
      </c>
      <c r="O2" s="176" t="s">
        <v>351</v>
      </c>
      <c r="P2" s="176" t="s">
        <v>341</v>
      </c>
      <c r="Q2" s="176" t="s">
        <v>320</v>
      </c>
      <c r="R2" s="176" t="s">
        <v>299</v>
      </c>
      <c r="S2" s="177" t="s">
        <v>342</v>
      </c>
      <c r="T2" s="177" t="s">
        <v>307</v>
      </c>
      <c r="U2" s="177" t="s">
        <v>343</v>
      </c>
      <c r="V2" s="177" t="s">
        <v>299</v>
      </c>
      <c r="W2" s="177" t="s">
        <v>324</v>
      </c>
      <c r="X2" s="177" t="s">
        <v>323</v>
      </c>
      <c r="Y2" s="177" t="s">
        <v>302</v>
      </c>
      <c r="Z2" s="177" t="s">
        <v>311</v>
      </c>
      <c r="AA2" s="177" t="s">
        <v>349</v>
      </c>
      <c r="AB2" s="177" t="s">
        <v>345</v>
      </c>
      <c r="AC2" s="177" t="s">
        <v>322</v>
      </c>
      <c r="AD2" s="177" t="s">
        <v>363</v>
      </c>
      <c r="AE2" s="177" t="s">
        <v>348</v>
      </c>
      <c r="AF2" s="177" t="s">
        <v>340</v>
      </c>
      <c r="AG2" s="177" t="s">
        <v>347</v>
      </c>
      <c r="AH2" s="177" t="s">
        <v>352</v>
      </c>
      <c r="AI2" s="177" t="s">
        <v>319</v>
      </c>
      <c r="AJ2" s="177" t="s">
        <v>319</v>
      </c>
      <c r="AK2" s="177" t="s">
        <v>319</v>
      </c>
      <c r="AL2" s="177" t="s">
        <v>358</v>
      </c>
    </row>
    <row r="3" spans="1:38">
      <c r="A3" s="176" t="s">
        <v>336</v>
      </c>
      <c r="B3" s="176" t="s">
        <v>338</v>
      </c>
      <c r="C3" s="176" t="s">
        <v>299</v>
      </c>
      <c r="D3" s="176" t="s">
        <v>304</v>
      </c>
      <c r="E3" s="176" t="s">
        <v>268</v>
      </c>
      <c r="F3" s="176" t="s">
        <v>357</v>
      </c>
      <c r="G3" s="176" t="s">
        <v>319</v>
      </c>
      <c r="H3" s="176"/>
      <c r="I3" s="176" t="s">
        <v>340</v>
      </c>
      <c r="J3" s="176" t="s">
        <v>339</v>
      </c>
      <c r="K3" s="176" t="s">
        <v>339</v>
      </c>
      <c r="L3" s="176" t="s">
        <v>314</v>
      </c>
      <c r="M3" s="176" t="s">
        <v>302</v>
      </c>
      <c r="N3" s="176" t="s">
        <v>346</v>
      </c>
      <c r="O3" s="176" t="s">
        <v>359</v>
      </c>
      <c r="P3" s="176" t="s">
        <v>268</v>
      </c>
      <c r="Q3" s="176" t="s">
        <v>342</v>
      </c>
      <c r="R3" s="176" t="s">
        <v>304</v>
      </c>
      <c r="S3" s="177" t="s">
        <v>361</v>
      </c>
      <c r="T3" s="177" t="s">
        <v>302</v>
      </c>
      <c r="U3" s="177" t="s">
        <v>344</v>
      </c>
      <c r="V3" s="177"/>
      <c r="W3" s="177" t="s">
        <v>345</v>
      </c>
      <c r="X3" s="177"/>
      <c r="Y3" s="177"/>
      <c r="Z3" s="177"/>
      <c r="AA3" s="177"/>
      <c r="AB3" s="177" t="s">
        <v>339</v>
      </c>
      <c r="AC3" s="177"/>
      <c r="AD3" s="177" t="s">
        <v>362</v>
      </c>
      <c r="AE3" s="177"/>
      <c r="AF3" s="177"/>
      <c r="AG3" s="177" t="s">
        <v>327</v>
      </c>
      <c r="AH3" s="177"/>
      <c r="AI3" s="177"/>
      <c r="AJ3" s="177" t="s">
        <v>109</v>
      </c>
      <c r="AK3" s="177" t="s">
        <v>109</v>
      </c>
      <c r="AL3" s="177" t="s">
        <v>336</v>
      </c>
    </row>
    <row r="4" spans="1:38">
      <c r="A4" s="176" t="s">
        <v>327</v>
      </c>
      <c r="B4" s="176"/>
      <c r="C4" s="176" t="s">
        <v>303</v>
      </c>
      <c r="D4" s="176" t="s">
        <v>299</v>
      </c>
      <c r="E4" s="176" t="s">
        <v>109</v>
      </c>
      <c r="F4" s="176"/>
      <c r="G4" s="176"/>
      <c r="H4" s="176"/>
      <c r="I4" s="176" t="s">
        <v>327</v>
      </c>
      <c r="J4" s="176"/>
      <c r="K4" s="176"/>
      <c r="L4" s="176"/>
      <c r="M4" s="176"/>
      <c r="N4" s="176"/>
      <c r="O4" s="176"/>
      <c r="P4" s="176"/>
      <c r="Q4" s="176" t="s">
        <v>348</v>
      </c>
      <c r="R4" s="176" t="s">
        <v>248</v>
      </c>
      <c r="S4" s="177"/>
      <c r="T4" s="177" t="s">
        <v>314</v>
      </c>
      <c r="U4" s="177"/>
      <c r="V4" s="177"/>
      <c r="W4" s="177"/>
      <c r="X4" s="177"/>
      <c r="Y4" s="177"/>
      <c r="Z4" s="177"/>
      <c r="AA4" s="177"/>
      <c r="AB4" s="177" t="s">
        <v>299</v>
      </c>
      <c r="AC4" s="177"/>
      <c r="AD4" s="177" t="s">
        <v>321</v>
      </c>
      <c r="AE4" s="177"/>
      <c r="AF4" s="177"/>
      <c r="AG4" s="177"/>
      <c r="AH4" s="177"/>
      <c r="AI4" s="177"/>
      <c r="AJ4" s="177" t="s">
        <v>340</v>
      </c>
      <c r="AK4" s="177"/>
      <c r="AL4" s="177" t="s">
        <v>350</v>
      </c>
    </row>
    <row r="5" spans="1:38">
      <c r="A5" s="176" t="s">
        <v>313</v>
      </c>
      <c r="B5" s="176"/>
      <c r="C5" s="176"/>
      <c r="D5" s="176"/>
      <c r="E5" s="176" t="s">
        <v>319</v>
      </c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 t="s">
        <v>319</v>
      </c>
      <c r="R5" s="176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L5" s="177"/>
    </row>
    <row r="6" spans="1:38">
      <c r="A6" s="176" t="s">
        <v>350</v>
      </c>
      <c r="B6" s="176"/>
      <c r="C6" s="176"/>
      <c r="D6" s="176"/>
      <c r="E6" s="176" t="s">
        <v>355</v>
      </c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  <c r="AH6" s="177"/>
      <c r="AI6" s="177"/>
      <c r="AJ6" s="177"/>
      <c r="AK6" s="177"/>
      <c r="AL6" s="177"/>
    </row>
    <row r="7" spans="1:38">
      <c r="A7" s="176" t="s">
        <v>358</v>
      </c>
      <c r="B7" s="176"/>
      <c r="C7" s="176"/>
      <c r="D7" s="176"/>
      <c r="E7" s="176" t="s">
        <v>340</v>
      </c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  <c r="AH7" s="177"/>
      <c r="AI7" s="177"/>
      <c r="AJ7" s="177"/>
      <c r="AK7" s="177"/>
      <c r="AL7" s="177"/>
    </row>
    <row r="8" spans="1:38">
      <c r="A8" s="176"/>
      <c r="B8" s="176"/>
      <c r="C8" s="176"/>
      <c r="D8" s="176"/>
      <c r="E8" s="176" t="s">
        <v>356</v>
      </c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177"/>
      <c r="AJ8" s="177"/>
      <c r="AK8" s="177"/>
      <c r="AL8" s="177"/>
    </row>
    <row r="9" spans="1:38">
      <c r="A9" s="176"/>
      <c r="B9" s="176"/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</row>
    <row r="10" spans="1:38">
      <c r="A10" s="176"/>
      <c r="B10" s="176"/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1f10ac-162a-46b9-a819-6c89d5c98715">
      <Terms xmlns="http://schemas.microsoft.com/office/infopath/2007/PartnerControls"/>
    </lcf76f155ced4ddcb4097134ff3c332f>
    <TaxCatchAll xmlns="d6423163-8f5f-4063-aed8-71ed43c61843" xsi:nil="true"/>
    <_Flow_SignoffStatus xmlns="171f10ac-162a-46b9-a819-6c89d5c98715" xsi:nil="true"/>
    <Tag xmlns="171f10ac-162a-46b9-a819-6c89d5c9871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115E4CE4B5224C86EE86EB150EF225" ma:contentTypeVersion="21" ma:contentTypeDescription="Create a new document." ma:contentTypeScope="" ma:versionID="1b5412ec6920591787bb3c5fdbf77d01">
  <xsd:schema xmlns:xsd="http://www.w3.org/2001/XMLSchema" xmlns:xs="http://www.w3.org/2001/XMLSchema" xmlns:p="http://schemas.microsoft.com/office/2006/metadata/properties" xmlns:ns2="171f10ac-162a-46b9-a819-6c89d5c98715" xmlns:ns3="d6423163-8f5f-4063-aed8-71ed43c61843" targetNamespace="http://schemas.microsoft.com/office/2006/metadata/properties" ma:root="true" ma:fieldsID="546e2a0c80182ed81c52f3de4165eed3" ns2:_="" ns3:_="">
    <xsd:import namespace="171f10ac-162a-46b9-a819-6c89d5c98715"/>
    <xsd:import namespace="d6423163-8f5f-4063-aed8-71ed43c618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Tag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f10ac-162a-46b9-a819-6c89d5c987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150dd86-af7c-4119-8ddc-903a273d08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ag" ma:index="26" nillable="true" ma:displayName="Status" ma:format="Dropdown" ma:internalName="Tag">
      <xsd:simpleType>
        <xsd:restriction base="dms:Choice">
          <xsd:enumeration value="Final"/>
          <xsd:enumeration value="Draft"/>
          <xsd:enumeration value="Archived"/>
        </xsd:restriction>
      </xsd:simpleType>
    </xsd:element>
    <xsd:element name="_Flow_SignoffStatus" ma:index="27" nillable="true" ma:displayName="Sign-off status" ma:internalName="Sign_x002d_off_x0020_status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423163-8f5f-4063-aed8-71ed43c6184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a241420-52c5-4af1-bee7-cfee0740afe7}" ma:internalName="TaxCatchAll" ma:showField="CatchAllData" ma:web="d6423163-8f5f-4063-aed8-71ed43c618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7611AE-CB0D-48DC-B447-56FD4BBFB185}">
  <ds:schemaRefs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dcmitype/"/>
    <ds:schemaRef ds:uri="d6423163-8f5f-4063-aed8-71ed43c61843"/>
    <ds:schemaRef ds:uri="171f10ac-162a-46b9-a819-6c89d5c98715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33D951A-9B22-4DF6-804E-E987435235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0602FB-2A70-4654-9200-8F588671F0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1f10ac-162a-46b9-a819-6c89d5c98715"/>
    <ds:schemaRef ds:uri="d6423163-8f5f-4063-aed8-71ed43c618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45</vt:i4>
      </vt:variant>
    </vt:vector>
  </HeadingPairs>
  <TitlesOfParts>
    <vt:vector size="49" baseType="lpstr">
      <vt:lpstr>Lookup Table (2)</vt:lpstr>
      <vt:lpstr>New Template</vt:lpstr>
      <vt:lpstr>Listis</vt:lpstr>
      <vt:lpstr>New Listis </vt:lpstr>
      <vt:lpstr>Akses_yang_sempit</vt:lpstr>
      <vt:lpstr>Area_ATEX</vt:lpstr>
      <vt:lpstr>Asbestos</vt:lpstr>
      <vt:lpstr>Bagian_peralatan_yang_menonjol</vt:lpstr>
      <vt:lpstr>Bagian_yang_bergerak</vt:lpstr>
      <vt:lpstr>Bahan_Kimia_berbahaya</vt:lpstr>
      <vt:lpstr>Bahan_peledak</vt:lpstr>
      <vt:lpstr>Bahaya_listrik</vt:lpstr>
      <vt:lpstr>Bahaya_suhu_rendah</vt:lpstr>
      <vt:lpstr>Bahaya_suhu_tinggi</vt:lpstr>
      <vt:lpstr>Beban_di_atas_kepala</vt:lpstr>
      <vt:lpstr>Beban_pengangkatan_tidak_pada_titik_center</vt:lpstr>
      <vt:lpstr>Bekerja_di_area_lalu_lalang_kendaraan</vt:lpstr>
      <vt:lpstr>Bekerja_di_ketinggian</vt:lpstr>
      <vt:lpstr>Benda_jatuh</vt:lpstr>
      <vt:lpstr>Compressed_gas_atau_air</vt:lpstr>
      <vt:lpstr>Dampak_Biologi</vt:lpstr>
      <vt:lpstr>Debu_atau_partikel_lainnya</vt:lpstr>
      <vt:lpstr>Elemen_tajam</vt:lpstr>
      <vt:lpstr>Flashes_atau_Sinar_Berkedip</vt:lpstr>
      <vt:lpstr>Forklift_dan_mesin_industri_lainnya</vt:lpstr>
      <vt:lpstr>Gerakan_anggot__tubuh_ke_atas_yang_berulang</vt:lpstr>
      <vt:lpstr>Gesekan</vt:lpstr>
      <vt:lpstr>Getaran_pada_tangan</vt:lpstr>
      <vt:lpstr>Getaran_pada_tubuh</vt:lpstr>
      <vt:lpstr>Halangan_di_atas_kepala</vt:lpstr>
      <vt:lpstr>Listis!Hazards</vt:lpstr>
      <vt:lpstr>Kebisingan</vt:lpstr>
      <vt:lpstr>Manual_Handling</vt:lpstr>
      <vt:lpstr>Material_radioaktif</vt:lpstr>
      <vt:lpstr>Pekerjaan_panas</vt:lpstr>
      <vt:lpstr>Penerangan</vt:lpstr>
      <vt:lpstr>Peralatan_belum_di_cek</vt:lpstr>
      <vt:lpstr>Permukaan_dingin</vt:lpstr>
      <vt:lpstr>Permukaan_licin</vt:lpstr>
      <vt:lpstr>Permukaan_panas</vt:lpstr>
      <vt:lpstr>Listis!Print_Area</vt:lpstr>
      <vt:lpstr>'New Template'!Print_Area</vt:lpstr>
      <vt:lpstr>'New Template'!Print_Titles</vt:lpstr>
      <vt:lpstr>Listis!Risks</vt:lpstr>
      <vt:lpstr>Ruang_Terbatas</vt:lpstr>
      <vt:lpstr>Stress_berhubungan_dengan_pekerjaan</vt:lpstr>
      <vt:lpstr>zat_yang_mudah_terbakar</vt:lpstr>
      <vt:lpstr>Listis!Опасности</vt:lpstr>
      <vt:lpstr>Listis!Риски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SJP SUKOREJO</dc:creator>
  <cp:keywords/>
  <dc:description/>
  <cp:lastModifiedBy>Satria Piranti Perkasa</cp:lastModifiedBy>
  <cp:revision/>
  <cp:lastPrinted>2026-01-29T03:03:04Z</cp:lastPrinted>
  <dcterms:created xsi:type="dcterms:W3CDTF">2020-04-22T10:30:33Z</dcterms:created>
  <dcterms:modified xsi:type="dcterms:W3CDTF">2026-04-22T08:49:49Z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0x010100F4115E4CE4B5224C86EE86EB150EF225</vt:lpwstr>
  </property>
  <property fmtid="{D5CDD505-2E9C-101B-9397-08002B2CF9AE}" pid="3" name="Order">
    <vt:r8>52000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